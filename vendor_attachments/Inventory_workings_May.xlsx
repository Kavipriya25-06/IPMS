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omponent Master" sheetId="1" state="visible" r:id="rId3"/>
    <sheet name="Order Tracker" sheetId="2" state="visible" r:id="rId4"/>
    <sheet name="Inward" sheetId="3" state="visible" r:id="rId5"/>
    <sheet name="Outward" sheetId="4" state="hidden" r:id="rId6"/>
    <sheet name="Workings" sheetId="5" state="visible" r:id="rId7"/>
    <sheet name="Notes" sheetId="6" state="visible" r:id="rId8"/>
    <sheet name="Flight test" sheetId="7" state="visible" r:id="rId9"/>
    <sheet name="Tabl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<sst xmlns="http://schemas.openxmlformats.org/spreadsheetml/2006/main" count="4514" uniqueCount="864">
  <si>
    <t xml:space="preserve">Categories</t>
  </si>
  <si>
    <t xml:space="preserve">CID/SKU Number</t>
  </si>
  <si>
    <t xml:space="preserve">Components</t>
  </si>
  <si>
    <t xml:space="preserve">Specification</t>
  </si>
  <si>
    <t xml:space="preserve">Vendor</t>
  </si>
  <si>
    <t xml:space="preserve">Last Updated Price</t>
  </si>
  <si>
    <t xml:space="preserve">Last Updated Date</t>
  </si>
  <si>
    <t xml:space="preserve">UOM</t>
  </si>
  <si>
    <t xml:space="preserve">Vajra</t>
  </si>
  <si>
    <t xml:space="preserve">Astra</t>
  </si>
  <si>
    <t xml:space="preserve">Bhima</t>
  </si>
  <si>
    <t xml:space="preserve">Vyoma</t>
  </si>
  <si>
    <t xml:space="preserve">Chakra</t>
  </si>
  <si>
    <t xml:space="preserve">Agri</t>
  </si>
  <si>
    <t xml:space="preserve">Availability</t>
  </si>
  <si>
    <t xml:space="preserve">Project 1- P0001</t>
  </si>
  <si>
    <t xml:space="preserve">Project 2- P0002</t>
  </si>
  <si>
    <t xml:space="preserve">Project 3- P0003</t>
  </si>
  <si>
    <t xml:space="preserve">Effective Inventory</t>
  </si>
  <si>
    <t xml:space="preserve">Airframe</t>
  </si>
  <si>
    <t xml:space="preserve">Aero0001</t>
  </si>
  <si>
    <t xml:space="preserve">Carry case</t>
  </si>
  <si>
    <t xml:space="preserve">Bhima_Carrycase_with_Foam</t>
  </si>
  <si>
    <t xml:space="preserve">Aerotek</t>
  </si>
  <si>
    <t xml:space="preserve">Nos</t>
  </si>
  <si>
    <t xml:space="preserve">No</t>
  </si>
  <si>
    <t xml:space="preserve">Aero0002</t>
  </si>
  <si>
    <t xml:space="preserve">Vajra_Carrycase_with_Foam</t>
  </si>
  <si>
    <t xml:space="preserve">Paxshell</t>
  </si>
  <si>
    <t xml:space="preserve">Aero0003</t>
  </si>
  <si>
    <t xml:space="preserve">Astra Carry case with Foam</t>
  </si>
  <si>
    <t xml:space="preserve">Aero0004</t>
  </si>
  <si>
    <t xml:space="preserve">Agri Carry case with Foam</t>
  </si>
  <si>
    <t xml:space="preserve">Aero0005</t>
  </si>
  <si>
    <t xml:space="preserve">For Nano Drone</t>
  </si>
  <si>
    <t xml:space="preserve">Aero0006</t>
  </si>
  <si>
    <t xml:space="preserve">CF Sheet</t>
  </si>
  <si>
    <t xml:space="preserve">400mm * 300mm * 1mm</t>
  </si>
  <si>
    <t xml:space="preserve">Hindustan Engineers</t>
  </si>
  <si>
    <t xml:space="preserve">Project Specfic</t>
  </si>
  <si>
    <t xml:space="preserve">Aero0007</t>
  </si>
  <si>
    <t xml:space="preserve">130mm * 90mm * 1mm</t>
  </si>
  <si>
    <t xml:space="preserve">Aero0008</t>
  </si>
  <si>
    <t xml:space="preserve">125mm * 75mm * 3mm</t>
  </si>
  <si>
    <t xml:space="preserve">Aero0009</t>
  </si>
  <si>
    <t xml:space="preserve">300mm * 200mm * 2mm</t>
  </si>
  <si>
    <t xml:space="preserve">Aero0010</t>
  </si>
  <si>
    <t xml:space="preserve">300mm * 200mm * 3mm</t>
  </si>
  <si>
    <t xml:space="preserve">Aero0011</t>
  </si>
  <si>
    <t xml:space="preserve">100mm * 250mm * 4mm</t>
  </si>
  <si>
    <t xml:space="preserve">Aero0012</t>
  </si>
  <si>
    <t xml:space="preserve">400mm * 400mm * 4mm</t>
  </si>
  <si>
    <t xml:space="preserve">Aero0013</t>
  </si>
  <si>
    <t xml:space="preserve">CF Hollow Tube</t>
  </si>
  <si>
    <t xml:space="preserve">CF Tube 30mm OD * 27mm ID * 550mm </t>
  </si>
  <si>
    <t xml:space="preserve">Aero0014</t>
  </si>
  <si>
    <t xml:space="preserve">CF Tube 6mm OD * 4mm ID * 1000mm</t>
  </si>
  <si>
    <t xml:space="preserve">Think Robotics</t>
  </si>
  <si>
    <t xml:space="preserve">Aero0015</t>
  </si>
  <si>
    <t xml:space="preserve">CF Square Tube</t>
  </si>
  <si>
    <t xml:space="preserve">CF Sq Tube 15mm * 13mm * 1000mm/Gloss</t>
  </si>
  <si>
    <t xml:space="preserve">Aero0016</t>
  </si>
  <si>
    <t xml:space="preserve">Spacers</t>
  </si>
  <si>
    <t xml:space="preserve">50 mm spacer (Pack of 20)</t>
  </si>
  <si>
    <t xml:space="preserve">Local</t>
  </si>
  <si>
    <t xml:space="preserve">-</t>
  </si>
  <si>
    <t xml:space="preserve">Pack</t>
  </si>
  <si>
    <t xml:space="preserve">Yes</t>
  </si>
  <si>
    <t xml:space="preserve">Aero0017</t>
  </si>
  <si>
    <t xml:space="preserve">20mm Spacer(Pack of 25)</t>
  </si>
  <si>
    <t xml:space="preserve">Macfos</t>
  </si>
  <si>
    <t xml:space="preserve">Aero0018</t>
  </si>
  <si>
    <t xml:space="preserve">10 mm spacer (Pack of 20)</t>
  </si>
  <si>
    <t xml:space="preserve">Aero0019</t>
  </si>
  <si>
    <t xml:space="preserve">Spacers 40mm female to female</t>
  </si>
  <si>
    <t xml:space="preserve">Aero0020</t>
  </si>
  <si>
    <t xml:space="preserve">Shock Absorber</t>
  </si>
  <si>
    <t xml:space="preserve">Pixhawk Dampner plate</t>
  </si>
  <si>
    <t xml:space="preserve">Aero0021</t>
  </si>
  <si>
    <t xml:space="preserve">Frame</t>
  </si>
  <si>
    <t xml:space="preserve">NANO-Rekon 4 FR Freestyle Frame Kit 4 Inches Frame</t>
  </si>
  <si>
    <t xml:space="preserve">Quadkart</t>
  </si>
  <si>
    <t xml:space="preserve">Aero0022</t>
  </si>
  <si>
    <t xml:space="preserve">M1500</t>
  </si>
  <si>
    <t xml:space="preserve">T-Drones</t>
  </si>
  <si>
    <t xml:space="preserve">Aero0023</t>
  </si>
  <si>
    <t xml:space="preserve">M690 Pro</t>
  </si>
  <si>
    <t xml:space="preserve">Aero0024</t>
  </si>
  <si>
    <t xml:space="preserve">Vyoma Airframe</t>
  </si>
  <si>
    <t xml:space="preserve">Arace</t>
  </si>
  <si>
    <t xml:space="preserve">Aero0025</t>
  </si>
  <si>
    <t xml:space="preserve">Landing gear</t>
  </si>
  <si>
    <t xml:space="preserve">Aero0026</t>
  </si>
  <si>
    <t xml:space="preserve">Manpack</t>
  </si>
  <si>
    <t xml:space="preserve">Waterproof manpack</t>
  </si>
  <si>
    <t xml:space="preserve">Aero0027</t>
  </si>
  <si>
    <t xml:space="preserve">Water Jet cutting</t>
  </si>
  <si>
    <t xml:space="preserve">Alind water jet cutting</t>
  </si>
  <si>
    <t xml:space="preserve">Alind</t>
  </si>
  <si>
    <t xml:space="preserve">Aero0028</t>
  </si>
  <si>
    <t xml:space="preserve">3D Printed Parts</t>
  </si>
  <si>
    <t xml:space="preserve">Canopy</t>
  </si>
  <si>
    <t xml:space="preserve">Amuse</t>
  </si>
  <si>
    <t xml:space="preserve">Aero0029</t>
  </si>
  <si>
    <t xml:space="preserve">Communication</t>
  </si>
  <si>
    <t xml:space="preserve">Aero0030</t>
  </si>
  <si>
    <t xml:space="preserve">Remote controller</t>
  </si>
  <si>
    <t xml:space="preserve">Skydroid H12</t>
  </si>
  <si>
    <t xml:space="preserve">Robokits</t>
  </si>
  <si>
    <t xml:space="preserve">Aero0031</t>
  </si>
  <si>
    <t xml:space="preserve">SIYI MK15 AGRI Version</t>
  </si>
  <si>
    <t xml:space="preserve">Aero0032</t>
  </si>
  <si>
    <t xml:space="preserve">Logitech Joystick</t>
  </si>
  <si>
    <t xml:space="preserve">Aero0033</t>
  </si>
  <si>
    <t xml:space="preserve">SIYI HM30</t>
  </si>
  <si>
    <t xml:space="preserve">Aero0034</t>
  </si>
  <si>
    <t xml:space="preserve">Skydroid H16</t>
  </si>
  <si>
    <t xml:space="preserve">Indian Robo Store</t>
  </si>
  <si>
    <t xml:space="preserve">Aero0035</t>
  </si>
  <si>
    <t xml:space="preserve">Skydroid H16 Pro</t>
  </si>
  <si>
    <t xml:space="preserve">Aero0036</t>
  </si>
  <si>
    <t xml:space="preserve">SIYI MK15</t>
  </si>
  <si>
    <t xml:space="preserve">Aero0037</t>
  </si>
  <si>
    <t xml:space="preserve">Skydroid T12</t>
  </si>
  <si>
    <t xml:space="preserve">Aero0038</t>
  </si>
  <si>
    <t xml:space="preserve">RF communication</t>
  </si>
  <si>
    <t xml:space="preserve">Doodle Labs RM-2450-12M3</t>
  </si>
  <si>
    <t xml:space="preserve">Aqtronics</t>
  </si>
  <si>
    <t xml:space="preserve">Aero0039</t>
  </si>
  <si>
    <t xml:space="preserve">Evaluation Kit</t>
  </si>
  <si>
    <t xml:space="preserve">Aero0040</t>
  </si>
  <si>
    <t xml:space="preserve">Herelink Transmitter</t>
  </si>
  <si>
    <t xml:space="preserve">Gadgets Deal</t>
  </si>
  <si>
    <t xml:space="preserve">Aero0041</t>
  </si>
  <si>
    <t xml:space="preserve">FrSky 2.4GHz Taranis Q X7 Access Transmitter - Black</t>
  </si>
  <si>
    <t xml:space="preserve">Electricals</t>
  </si>
  <si>
    <t xml:space="preserve">Aero0042</t>
  </si>
  <si>
    <t xml:space="preserve">Propellers</t>
  </si>
  <si>
    <t xml:space="preserve">Vajra Props 1760_with_mount</t>
  </si>
  <si>
    <t xml:space="preserve">Set</t>
  </si>
  <si>
    <t xml:space="preserve">Aero0043</t>
  </si>
  <si>
    <t xml:space="preserve">T- motor P18*6.1 Prop-2PCS/PAIR</t>
  </si>
  <si>
    <t xml:space="preserve">Aero0044</t>
  </si>
  <si>
    <t xml:space="preserve">GEMFAN 5.2*2.5</t>
  </si>
  <si>
    <t xml:space="preserve">DRK Store</t>
  </si>
  <si>
    <t xml:space="preserve">Aero0045</t>
  </si>
  <si>
    <t xml:space="preserve">Gemfan hurricane 4024 2-blade-propeller-1-5mm-shaft-set-of-8</t>
  </si>
  <si>
    <t xml:space="preserve">Aero0046</t>
  </si>
  <si>
    <t xml:space="preserve">NS18*6 propellers</t>
  </si>
  <si>
    <t xml:space="preserve">Aero0047</t>
  </si>
  <si>
    <t xml:space="preserve">30*10 inch Propellers</t>
  </si>
  <si>
    <t xml:space="preserve">Aero0048</t>
  </si>
  <si>
    <t xml:space="preserve">Battery</t>
  </si>
  <si>
    <t xml:space="preserve">6S_30000mah_Mpower</t>
  </si>
  <si>
    <t xml:space="preserve">Mpower</t>
  </si>
  <si>
    <t xml:space="preserve">Aero0049</t>
  </si>
  <si>
    <t xml:space="preserve">6S 22000mAh Solid State</t>
  </si>
  <si>
    <t xml:space="preserve">Aero0050</t>
  </si>
  <si>
    <t xml:space="preserve">21000mAh</t>
  </si>
  <si>
    <t xml:space="preserve">Aero0051</t>
  </si>
  <si>
    <t xml:space="preserve">Tattu 16000mAh 6S Lipo Battery</t>
  </si>
  <si>
    <t xml:space="preserve">Aero0052</t>
  </si>
  <si>
    <t xml:space="preserve">6S 15000mAh Battery</t>
  </si>
  <si>
    <t xml:space="preserve">Aero0053</t>
  </si>
  <si>
    <t xml:space="preserve">12600_mah</t>
  </si>
  <si>
    <t xml:space="preserve">Aero0054</t>
  </si>
  <si>
    <t xml:space="preserve">4S 3000mAh</t>
  </si>
  <si>
    <t xml:space="preserve">Aero0055</t>
  </si>
  <si>
    <t xml:space="preserve">LG INR18650MJ1 3500mAh (3c) LI-ION BATTERY</t>
  </si>
  <si>
    <t xml:space="preserve">Aero0056</t>
  </si>
  <si>
    <t xml:space="preserve">Lemon 5000mAH 4S 45C/90C Lithium Polymer Battery Pack</t>
  </si>
  <si>
    <t xml:space="preserve">Aero0057</t>
  </si>
  <si>
    <t xml:space="preserve">Battery charger</t>
  </si>
  <si>
    <t xml:space="preserve">SKYRC_PC1080</t>
  </si>
  <si>
    <t xml:space="preserve">Aero0058</t>
  </si>
  <si>
    <t xml:space="preserve">SKYRC_PC_520</t>
  </si>
  <si>
    <t xml:space="preserve">Aero0059</t>
  </si>
  <si>
    <t xml:space="preserve">HTRC C240 DUO</t>
  </si>
  <si>
    <t xml:space="preserve">Aero0060</t>
  </si>
  <si>
    <t xml:space="preserve">iMAX_B6AC</t>
  </si>
  <si>
    <t xml:space="preserve">Aero0061</t>
  </si>
  <si>
    <t xml:space="preserve">Motor</t>
  </si>
  <si>
    <t xml:space="preserve">Tarot 4008 330kV motor</t>
  </si>
  <si>
    <t xml:space="preserve">Aero0062</t>
  </si>
  <si>
    <t xml:space="preserve">T MOTOR ANTIGRAVITY 4004 300KV(Pack of 2)</t>
  </si>
  <si>
    <t xml:space="preserve">Aero0063</t>
  </si>
  <si>
    <t xml:space="preserve">T-Motor MN5008 Antigravity Type 6-12S UAV Motor KV340</t>
  </si>
  <si>
    <t xml:space="preserve">Aero0064</t>
  </si>
  <si>
    <t xml:space="preserve">Hobbywing X6 plus propulsion system</t>
  </si>
  <si>
    <t xml:space="preserve">Aero0065</t>
  </si>
  <si>
    <t xml:space="preserve">HGLRC AEOLUS 1603 2800KV Brushless Motor</t>
  </si>
  <si>
    <t xml:space="preserve">Aero0066</t>
  </si>
  <si>
    <t xml:space="preserve">ESC</t>
  </si>
  <si>
    <t xml:space="preserve">Air 40 Amps</t>
  </si>
  <si>
    <t xml:space="preserve">Aero0067</t>
  </si>
  <si>
    <t xml:space="preserve">Cables</t>
  </si>
  <si>
    <t xml:space="preserve">High Quality Ultra Flexible 16AWG Silicon Wire 5m (Red)</t>
  </si>
  <si>
    <t xml:space="preserve">Aero0068</t>
  </si>
  <si>
    <t xml:space="preserve">High Quality Ultra Flexible 16AWG Silicon Wire 5m (Black)</t>
  </si>
  <si>
    <t xml:space="preserve">Aero0069</t>
  </si>
  <si>
    <t xml:space="preserve">BEC</t>
  </si>
  <si>
    <t xml:space="preserve">Matek MICRO BEC 5V/12V-ADJ</t>
  </si>
  <si>
    <t xml:space="preserve">Aero0070</t>
  </si>
  <si>
    <t xml:space="preserve">ReadytoSky 2-6S 5V/3A</t>
  </si>
  <si>
    <t xml:space="preserve">Aero0071</t>
  </si>
  <si>
    <t xml:space="preserve">High Quality Ultra Flexible 12AWG Silicone Wire 1m (Red) + 1m (Black)</t>
  </si>
  <si>
    <t xml:space="preserve">Aero0072</t>
  </si>
  <si>
    <t xml:space="preserve">High Quality 1-8S Battery Voltage Checker &amp; Low Voltage Buzzer Alarm</t>
  </si>
  <si>
    <t xml:space="preserve">Aero0073</t>
  </si>
  <si>
    <t xml:space="preserve">Connectors</t>
  </si>
  <si>
    <t xml:space="preserve">Amass XT-90 Male-Female Connector with Housing-1Pair</t>
  </si>
  <si>
    <t xml:space="preserve">Aero0074</t>
  </si>
  <si>
    <t xml:space="preserve">Amass XT30-U Female Bullet Connector</t>
  </si>
  <si>
    <t xml:space="preserve">Aero0075</t>
  </si>
  <si>
    <t xml:space="preserve">Amass XT30U Male Bullet Connector</t>
  </si>
  <si>
    <t xml:space="preserve">Electronics</t>
  </si>
  <si>
    <t xml:space="preserve">Aero0076</t>
  </si>
  <si>
    <t xml:space="preserve">Sensors</t>
  </si>
  <si>
    <t xml:space="preserve">PX4 Flow Sensor</t>
  </si>
  <si>
    <t xml:space="preserve">Aero0077</t>
  </si>
  <si>
    <t xml:space="preserve">Receiver</t>
  </si>
  <si>
    <t xml:space="preserve">R9M 2019 Module and R9MINI OTA</t>
  </si>
  <si>
    <t xml:space="preserve">Aero0078</t>
  </si>
  <si>
    <t xml:space="preserve">seagull rec</t>
  </si>
  <si>
    <t xml:space="preserve">Aero0079</t>
  </si>
  <si>
    <t xml:space="preserve">Liquid Level sensor</t>
  </si>
  <si>
    <t xml:space="preserve">Aero0080</t>
  </si>
  <si>
    <t xml:space="preserve">SD card</t>
  </si>
  <si>
    <t xml:space="preserve">256 GB (Extreme)</t>
  </si>
  <si>
    <t xml:space="preserve">Aero0081</t>
  </si>
  <si>
    <t xml:space="preserve">64 GB CARD</t>
  </si>
  <si>
    <t xml:space="preserve">Aero0082</t>
  </si>
  <si>
    <t xml:space="preserve">USB C to HDMI Cable</t>
  </si>
  <si>
    <t xml:space="preserve">Aero0083</t>
  </si>
  <si>
    <t xml:space="preserve">2-13s UBEC </t>
  </si>
  <si>
    <t xml:space="preserve">Aero0084</t>
  </si>
  <si>
    <t xml:space="preserve">Micro USB Cable</t>
  </si>
  <si>
    <t xml:space="preserve">Aero0085</t>
  </si>
  <si>
    <t xml:space="preserve">Type A to Type C</t>
  </si>
  <si>
    <t xml:space="preserve">Aero0086</t>
  </si>
  <si>
    <t xml:space="preserve">PDB</t>
  </si>
  <si>
    <t xml:space="preserve">100A Power distribtution Board</t>
  </si>
  <si>
    <t xml:space="preserve">Aero0087</t>
  </si>
  <si>
    <t xml:space="preserve">Flight Controller</t>
  </si>
  <si>
    <t xml:space="preserve">PIXHAWK_CUBE Orange+ with ADSB Set</t>
  </si>
  <si>
    <t xml:space="preserve">Vyom Drones</t>
  </si>
  <si>
    <t xml:space="preserve">Aero0088</t>
  </si>
  <si>
    <t xml:space="preserve">Mini Carrier Board</t>
  </si>
  <si>
    <t xml:space="preserve">Aero0089</t>
  </si>
  <si>
    <t xml:space="preserve">Holybro Kakute H7 V2 Stack</t>
  </si>
  <si>
    <t xml:space="preserve">Aero0090</t>
  </si>
  <si>
    <t xml:space="preserve">Pixhawk_2.4.8</t>
  </si>
  <si>
    <t xml:space="preserve">Aero0091</t>
  </si>
  <si>
    <t xml:space="preserve">JIYI K++ V2</t>
  </si>
  <si>
    <t xml:space="preserve">RC Mumbai</t>
  </si>
  <si>
    <t xml:space="preserve">Aero0092</t>
  </si>
  <si>
    <t xml:space="preserve">GPS</t>
  </si>
  <si>
    <t xml:space="preserve">Here3+</t>
  </si>
  <si>
    <t xml:space="preserve">Aero0093</t>
  </si>
  <si>
    <t xml:space="preserve">Ready to sky BN-880 GPS Module</t>
  </si>
  <si>
    <t xml:space="preserve">Aero0094</t>
  </si>
  <si>
    <t xml:space="preserve">TF-02_LIDAR</t>
  </si>
  <si>
    <t xml:space="preserve">Aero0095</t>
  </si>
  <si>
    <t xml:space="preserve">Holybro_MS4525DO_Digital_Airspeed_Sensor</t>
  </si>
  <si>
    <t xml:space="preserve">Aero0096</t>
  </si>
  <si>
    <t xml:space="preserve">TF mini Plus </t>
  </si>
  <si>
    <t xml:space="preserve">Aero0097</t>
  </si>
  <si>
    <t xml:space="preserve">TF mini LIDAR</t>
  </si>
  <si>
    <t xml:space="preserve">Aero0098</t>
  </si>
  <si>
    <t xml:space="preserve">Obstacle Avoidance Sensor</t>
  </si>
  <si>
    <t xml:space="preserve">Aero0099</t>
  </si>
  <si>
    <t xml:space="preserve">Terrain following sensor</t>
  </si>
  <si>
    <t xml:space="preserve">Aero0100</t>
  </si>
  <si>
    <t xml:space="preserve">Can Hub</t>
  </si>
  <si>
    <t xml:space="preserve">Aero0101</t>
  </si>
  <si>
    <t xml:space="preserve">Strobe Lights</t>
  </si>
  <si>
    <t xml:space="preserve">Aero0102</t>
  </si>
  <si>
    <t xml:space="preserve">MR72 77GHZ Collision Avoidance Radar</t>
  </si>
  <si>
    <t xml:space="preserve">Aero0103</t>
  </si>
  <si>
    <t xml:space="preserve">24GHz Alimeter Radar NRA24</t>
  </si>
  <si>
    <t xml:space="preserve">Aero0104</t>
  </si>
  <si>
    <t xml:space="preserve">PPK Module</t>
  </si>
  <si>
    <t xml:space="preserve">Emlid_reach_M2</t>
  </si>
  <si>
    <t xml:space="preserve">K K Sales</t>
  </si>
  <si>
    <t xml:space="preserve">Aero0105</t>
  </si>
  <si>
    <t xml:space="preserve">Emlid_Reach RS2+</t>
  </si>
  <si>
    <t xml:space="preserve">Aero0106</t>
  </si>
  <si>
    <t xml:space="preserve">Telemetry Module</t>
  </si>
  <si>
    <t xml:space="preserve">433MHz Telemetry module pair for Pixhawk and APM 100mw 2Km range</t>
  </si>
  <si>
    <t xml:space="preserve">Payload</t>
  </si>
  <si>
    <t xml:space="preserve">Aero0107</t>
  </si>
  <si>
    <t xml:space="preserve">Patch Antena</t>
  </si>
  <si>
    <t xml:space="preserve">11DBI Patch Antena</t>
  </si>
  <si>
    <t xml:space="preserve">Arrow Technologies</t>
  </si>
  <si>
    <t xml:space="preserve">Aero0108</t>
  </si>
  <si>
    <t xml:space="preserve">Flow meter</t>
  </si>
  <si>
    <t xml:space="preserve">Aero0109</t>
  </si>
  <si>
    <t xml:space="preserve">Parachute</t>
  </si>
  <si>
    <t xml:space="preserve">Skycat X85-CF package - Fruity 120" Ultra Light Parachute</t>
  </si>
  <si>
    <t xml:space="preserve">SKYCAT</t>
  </si>
  <si>
    <t xml:space="preserve">Aero0110</t>
  </si>
  <si>
    <t xml:space="preserve">Sprayer System</t>
  </si>
  <si>
    <t xml:space="preserve">Pump,Nozzle,Hose &amp; Pneumatic Connectors</t>
  </si>
  <si>
    <t xml:space="preserve">Aero0111</t>
  </si>
  <si>
    <t xml:space="preserve">Centrifugal Nozzle</t>
  </si>
  <si>
    <t xml:space="preserve">Aero0112</t>
  </si>
  <si>
    <t xml:space="preserve">Y Nozzle</t>
  </si>
  <si>
    <t xml:space="preserve">Aero0113</t>
  </si>
  <si>
    <t xml:space="preserve">Hollow Cone Nozzles High Pressure Atomizing Nozzle</t>
  </si>
  <si>
    <t xml:space="preserve">EFT</t>
  </si>
  <si>
    <t xml:space="preserve">Aero0114</t>
  </si>
  <si>
    <t xml:space="preserve">Granule spreader system V2</t>
  </si>
  <si>
    <t xml:space="preserve">Aero0115</t>
  </si>
  <si>
    <t xml:space="preserve">10L Tank</t>
  </si>
  <si>
    <t xml:space="preserve">Aero0116</t>
  </si>
  <si>
    <t xml:space="preserve">Goggles</t>
  </si>
  <si>
    <t xml:space="preserve">Fat Shark Recon HD FPV Goggles (FSV1127)</t>
  </si>
  <si>
    <t xml:space="preserve">Getfpv</t>
  </si>
  <si>
    <t xml:space="preserve">Aero0117</t>
  </si>
  <si>
    <t xml:space="preserve">Camera</t>
  </si>
  <si>
    <t xml:space="preserve">Raven</t>
  </si>
  <si>
    <t xml:space="preserve">Nextvision</t>
  </si>
  <si>
    <t xml:space="preserve">Aero0118</t>
  </si>
  <si>
    <t xml:space="preserve">BETAFPV SMO 4K CAMERA</t>
  </si>
  <si>
    <t xml:space="preserve">Aero0119</t>
  </si>
  <si>
    <t xml:space="preserve">Gremsey S1V3</t>
  </si>
  <si>
    <t xml:space="preserve">Gremsy</t>
  </si>
  <si>
    <t xml:space="preserve">Aero0120</t>
  </si>
  <si>
    <t xml:space="preserve">FIT SPARK CAMERA</t>
  </si>
  <si>
    <t xml:space="preserve">Aero0121</t>
  </si>
  <si>
    <t xml:space="preserve">Raptor</t>
  </si>
  <si>
    <t xml:space="preserve">Aero0122</t>
  </si>
  <si>
    <t xml:space="preserve">NightHawk2-UZ</t>
  </si>
  <si>
    <t xml:space="preserve">Aero0123</t>
  </si>
  <si>
    <t xml:space="preserve">NightHawk2</t>
  </si>
  <si>
    <t xml:space="preserve">Aero0124</t>
  </si>
  <si>
    <r>
      <rPr>
        <sz val="12"/>
        <color theme="1"/>
        <rFont val="Calibri"/>
        <family val="2"/>
        <charset val="1"/>
      </rPr>
      <t xml:space="preserve">NightHawk2</t>
    </r>
    <r>
      <rPr>
        <sz val="12"/>
        <color rgb="FF000000"/>
        <rFont val="Calibri"/>
        <family val="2"/>
        <charset val="1"/>
      </rPr>
      <t xml:space="preserve">-V</t>
    </r>
  </si>
  <si>
    <t xml:space="preserve">Aero0125</t>
  </si>
  <si>
    <t xml:space="preserve">Colibri2</t>
  </si>
  <si>
    <t xml:space="preserve">Aero0126</t>
  </si>
  <si>
    <t xml:space="preserve">Starling</t>
  </si>
  <si>
    <t xml:space="preserve">Aero0127</t>
  </si>
  <si>
    <t xml:space="preserve">DragonEye2-3X-QR</t>
  </si>
  <si>
    <t xml:space="preserve">Aero0128</t>
  </si>
  <si>
    <t xml:space="preserve">Micasense_Rededge_Altum-PT</t>
  </si>
  <si>
    <t xml:space="preserve">Aero0129</t>
  </si>
  <si>
    <t xml:space="preserve">DragonEye2-3X</t>
  </si>
  <si>
    <t xml:space="preserve">Aero0130</t>
  </si>
  <si>
    <t xml:space="preserve">Micasense_Rededge_P</t>
  </si>
  <si>
    <t xml:space="preserve">Aero0131</t>
  </si>
  <si>
    <t xml:space="preserve">DragonEye2-QR</t>
  </si>
  <si>
    <t xml:space="preserve">Aero0132</t>
  </si>
  <si>
    <t xml:space="preserve">DragonEye2</t>
  </si>
  <si>
    <t xml:space="preserve">Aero0133</t>
  </si>
  <si>
    <t xml:space="preserve">ViewPro_AT19</t>
  </si>
  <si>
    <t xml:space="preserve">Viewpro</t>
  </si>
  <si>
    <t xml:space="preserve">Aero0134</t>
  </si>
  <si>
    <t xml:space="preserve">X80</t>
  </si>
  <si>
    <t xml:space="preserve">Aero0135</t>
  </si>
  <si>
    <t xml:space="preserve">DragonEye2-QR Vis Only</t>
  </si>
  <si>
    <t xml:space="preserve">Aero0136</t>
  </si>
  <si>
    <t xml:space="preserve">Parrot_Sequoia</t>
  </si>
  <si>
    <t xml:space="preserve">Indowings</t>
  </si>
  <si>
    <t xml:space="preserve">Aero0137</t>
  </si>
  <si>
    <t xml:space="preserve">Foxtech_Bi-Focus_10X_Optical_Zoom_320x240_IR_Thermal_Camera_with_3-axis_Gimbal</t>
  </si>
  <si>
    <t xml:space="preserve">Foxtech</t>
  </si>
  <si>
    <t xml:space="preserve">Aero0138</t>
  </si>
  <si>
    <t xml:space="preserve">ZIR25T_LC</t>
  </si>
  <si>
    <t xml:space="preserve">Aero0139</t>
  </si>
  <si>
    <t xml:space="preserve">TRIP6</t>
  </si>
  <si>
    <t xml:space="preserve">Aero0140</t>
  </si>
  <si>
    <t xml:space="preserve">TRIP5</t>
  </si>
  <si>
    <t xml:space="preserve">Aero0141</t>
  </si>
  <si>
    <t xml:space="preserve">Q10T</t>
  </si>
  <si>
    <t xml:space="preserve">Aero0142</t>
  </si>
  <si>
    <t xml:space="preserve">TRIP2</t>
  </si>
  <si>
    <t xml:space="preserve">Aero0143</t>
  </si>
  <si>
    <t xml:space="preserve">ViewPro_Q10F</t>
  </si>
  <si>
    <t xml:space="preserve">Aero0144</t>
  </si>
  <si>
    <t xml:space="preserve">A8_Mini_camera</t>
  </si>
  <si>
    <t xml:space="preserve">Aero0145</t>
  </si>
  <si>
    <t xml:space="preserve">Walksnaill Avatar HD Kit</t>
  </si>
  <si>
    <t xml:space="preserve">Aero0146</t>
  </si>
  <si>
    <t xml:space="preserve">T10</t>
  </si>
  <si>
    <t xml:space="preserve">Aero0147</t>
  </si>
  <si>
    <t xml:space="preserve">SIYI ZT6 MINI DUAL SENSOR OPTICAL POD X SIYI AI TRACKING MODULE</t>
  </si>
  <si>
    <t xml:space="preserve">Aero0148</t>
  </si>
  <si>
    <t xml:space="preserve">ADTI 24MP 24S V3 SURVEYOR LITE DRONE MAPPING CAMERA</t>
  </si>
  <si>
    <t xml:space="preserve">Aero0149</t>
  </si>
  <si>
    <t xml:space="preserve">SIYI ZR10 3 AXIS 2K 4MP QHD 30X HYBRID ZOOM GIMBAL CAMERA FOR DRONE SURVEILLANCE INSPECTION</t>
  </si>
  <si>
    <t xml:space="preserve">Aero0150</t>
  </si>
  <si>
    <t xml:space="preserve">Tracking module</t>
  </si>
  <si>
    <t xml:space="preserve">SIYI AI Tracking module</t>
  </si>
  <si>
    <t xml:space="preserve">Aero0151</t>
  </si>
  <si>
    <t xml:space="preserve">ADTI 20MP APS-C DRONE MAPPING CAMERA</t>
  </si>
  <si>
    <t xml:space="preserve">Aero0152</t>
  </si>
  <si>
    <t xml:space="preserve">Flysky FS-i6S 2.4GHz 10CH AFHDS 2A RC Transmitter With FS-iA10B 10CH Receiver</t>
  </si>
  <si>
    <t xml:space="preserve">Aero0153</t>
  </si>
  <si>
    <t xml:space="preserve">T MOTOR ANTIGRAVITY 4004 300KV</t>
  </si>
  <si>
    <t xml:space="preserve">Aero0154</t>
  </si>
  <si>
    <t xml:space="preserve">ToolKit</t>
  </si>
  <si>
    <t xml:space="preserve">M3 Button Head Screws-8mm</t>
  </si>
  <si>
    <t xml:space="preserve">Aero0155</t>
  </si>
  <si>
    <t xml:space="preserve">M3 Button Head Screws-10mm</t>
  </si>
  <si>
    <t xml:space="preserve">Aero0156</t>
  </si>
  <si>
    <t xml:space="preserve">M3 Button Head Screws-12mm</t>
  </si>
  <si>
    <t xml:space="preserve">Aero0157</t>
  </si>
  <si>
    <t xml:space="preserve">M3 Button Head Screws-20mm</t>
  </si>
  <si>
    <t xml:space="preserve">Aero0158</t>
  </si>
  <si>
    <t xml:space="preserve">Epoxy</t>
  </si>
  <si>
    <t xml:space="preserve">Aero0159</t>
  </si>
  <si>
    <t xml:space="preserve">Anabond</t>
  </si>
  <si>
    <t xml:space="preserve">Aero0160</t>
  </si>
  <si>
    <t xml:space="preserve">Insulation Tapes</t>
  </si>
  <si>
    <t xml:space="preserve">Aero0161</t>
  </si>
  <si>
    <t xml:space="preserve">User Manual</t>
  </si>
  <si>
    <t xml:space="preserve">Aero0162</t>
  </si>
  <si>
    <t xml:space="preserve">400mm*380mm*3mm</t>
  </si>
  <si>
    <t xml:space="preserve">Aero0163</t>
  </si>
  <si>
    <t xml:space="preserve">3.5mm Male Female Banana Plug Bullet Connector (Pack of 10)</t>
  </si>
  <si>
    <t xml:space="preserve">Robocraze</t>
  </si>
  <si>
    <t xml:space="preserve">Aero0164</t>
  </si>
  <si>
    <t xml:space="preserve">Amass XT90E-M male connector</t>
  </si>
  <si>
    <t xml:space="preserve">Flyrobo</t>
  </si>
  <si>
    <t xml:space="preserve">Aero0165</t>
  </si>
  <si>
    <t xml:space="preserve">2388 inch Propellers</t>
  </si>
  <si>
    <t xml:space="preserve">Aero0166</t>
  </si>
  <si>
    <t xml:space="preserve">2480 inch Propellers-CW</t>
  </si>
  <si>
    <t xml:space="preserve">Aero0167</t>
  </si>
  <si>
    <t xml:space="preserve">2480 inch Propellers-CCW</t>
  </si>
  <si>
    <t xml:space="preserve">Aero0168</t>
  </si>
  <si>
    <t xml:space="preserve">Software</t>
  </si>
  <si>
    <t xml:space="preserve">Data Acquistion System</t>
  </si>
  <si>
    <t xml:space="preserve">Multiple Vendors</t>
  </si>
  <si>
    <t xml:space="preserve">Aero0169</t>
  </si>
  <si>
    <t xml:space="preserve">PCB</t>
  </si>
  <si>
    <t xml:space="preserve">Fabrication &amp; Development of PCB</t>
  </si>
  <si>
    <t xml:space="preserve">Aero0170</t>
  </si>
  <si>
    <t xml:space="preserve">EFT E610P Airframe with 10L Tank</t>
  </si>
  <si>
    <t xml:space="preserve">Aero0171</t>
  </si>
  <si>
    <t xml:space="preserve">CF Sheet 500*500mm*3mm</t>
  </si>
  <si>
    <t xml:space="preserve">Aero0172</t>
  </si>
  <si>
    <t xml:space="preserve">Aluminium mount</t>
  </si>
  <si>
    <t xml:space="preserve">Aero0173</t>
  </si>
  <si>
    <t xml:space="preserve">Hall Sensor</t>
  </si>
  <si>
    <t xml:space="preserve">Aero0174</t>
  </si>
  <si>
    <t xml:space="preserve">Holybro Pixhawk 6C PM02</t>
  </si>
  <si>
    <t xml:space="preserve">Aero0175</t>
  </si>
  <si>
    <t xml:space="preserve">High Quality Ultra Flexible 8AWG Silicon Wire 2m (Black)</t>
  </si>
  <si>
    <t xml:space="preserve">Aero0176</t>
  </si>
  <si>
    <t xml:space="preserve">Amass XT60-U Female Bullet Connector</t>
  </si>
  <si>
    <t xml:space="preserve">Aero0177</t>
  </si>
  <si>
    <t xml:space="preserve">Amass XT60-U Male Bullet Connector</t>
  </si>
  <si>
    <t xml:space="preserve">Aero0178</t>
  </si>
  <si>
    <t xml:space="preserve">Hobbywing X6 Pro motor CW</t>
  </si>
  <si>
    <t xml:space="preserve">Elecdrone Technologies</t>
  </si>
  <si>
    <t xml:space="preserve">Aero0179</t>
  </si>
  <si>
    <t xml:space="preserve">Hobbywing X6 Pro motor CCW</t>
  </si>
  <si>
    <t xml:space="preserve">Aero0180</t>
  </si>
  <si>
    <t xml:space="preserve">GPS Stand-Agri</t>
  </si>
  <si>
    <t xml:space="preserve">Aero0181</t>
  </si>
  <si>
    <t xml:space="preserve">Mauch 084: 4-14S BEC</t>
  </si>
  <si>
    <t xml:space="preserve">Aero0182</t>
  </si>
  <si>
    <t xml:space="preserve">Mauch 086: Adapter cable for Pixhawk 2</t>
  </si>
  <si>
    <t xml:space="preserve">Aero0183</t>
  </si>
  <si>
    <t xml:space="preserve">Water flow sensor-White</t>
  </si>
  <si>
    <t xml:space="preserve">Aero0184</t>
  </si>
  <si>
    <t xml:space="preserve">Liquid water Level sensor</t>
  </si>
  <si>
    <t xml:space="preserve">Aero0185</t>
  </si>
  <si>
    <t xml:space="preserve">QS8-S Anti spark Male/Female connector pair</t>
  </si>
  <si>
    <t xml:space="preserve">Aero0186</t>
  </si>
  <si>
    <t xml:space="preserve">Tattu 22000mAh 6S Lipo Battery</t>
  </si>
  <si>
    <t xml:space="preserve">Aero0187</t>
  </si>
  <si>
    <t xml:space="preserve">Antenna</t>
  </si>
  <si>
    <t xml:space="preserve">FrSky 900MHz Super 8 Antenna for R9M and R9M Lite Module_ FCC version</t>
  </si>
  <si>
    <t xml:space="preserve">Aero0188</t>
  </si>
  <si>
    <t xml:space="preserve">Avatar VTX antenna (2 pcs )</t>
  </si>
  <si>
    <t xml:space="preserve">Aero0189</t>
  </si>
  <si>
    <t xml:space="preserve">iBELL Rechargeable Weight Machine </t>
  </si>
  <si>
    <t xml:space="preserve">Amazon</t>
  </si>
  <si>
    <t xml:space="preserve">Aero0190</t>
  </si>
  <si>
    <t xml:space="preserve">Void stickers</t>
  </si>
  <si>
    <t xml:space="preserve">Pio Printers</t>
  </si>
  <si>
    <t xml:space="preserve">Aero0191</t>
  </si>
  <si>
    <t xml:space="preserve">Label stickers</t>
  </si>
  <si>
    <t xml:space="preserve">Yaan Infotech</t>
  </si>
  <si>
    <t xml:space="preserve">Aero0192</t>
  </si>
  <si>
    <t xml:space="preserve">Horizontal Landing gear </t>
  </si>
  <si>
    <t xml:space="preserve">Aero0193</t>
  </si>
  <si>
    <t xml:space="preserve">UIN Plate</t>
  </si>
  <si>
    <t xml:space="preserve">K Square Engineering</t>
  </si>
  <si>
    <t xml:space="preserve">Aero0194</t>
  </si>
  <si>
    <t xml:space="preserve">Consumables</t>
  </si>
  <si>
    <t xml:space="preserve">PU Hose tube cutter</t>
  </si>
  <si>
    <t xml:space="preserve">Aero0195</t>
  </si>
  <si>
    <t xml:space="preserve">Servo cables-45 cm</t>
  </si>
  <si>
    <t xml:space="preserve">Aero0196</t>
  </si>
  <si>
    <t xml:space="preserve">Servo cables-60cm</t>
  </si>
  <si>
    <t xml:space="preserve">Aero0197</t>
  </si>
  <si>
    <t xml:space="preserve">Sensor mounting plate</t>
  </si>
  <si>
    <t xml:space="preserve">Nextgen</t>
  </si>
  <si>
    <t xml:space="preserve">Aero0198</t>
  </si>
  <si>
    <t xml:space="preserve">Amass XT150 Gold plated Male/Female connector with High current(130A Max)</t>
  </si>
  <si>
    <t xml:space="preserve">Aero0199</t>
  </si>
  <si>
    <t xml:space="preserve">Amass AS150 Anti spark Insulating Gold plated connector 1 pair</t>
  </si>
  <si>
    <t xml:space="preserve">Aero0200</t>
  </si>
  <si>
    <t xml:space="preserve">Nylon 14mm Expandable braided sleeve for wire protection 2m length</t>
  </si>
  <si>
    <t xml:space="preserve">Aero0201</t>
  </si>
  <si>
    <t xml:space="preserve">Crimping tool</t>
  </si>
  <si>
    <t xml:space="preserve">Aero0202</t>
  </si>
  <si>
    <t xml:space="preserve">Telemetry cable</t>
  </si>
  <si>
    <t xml:space="preserve">Aero0203</t>
  </si>
  <si>
    <t xml:space="preserve">Inserts</t>
  </si>
  <si>
    <t xml:space="preserve">Brass Insert-OD 4.8mm(Pack of 25)</t>
  </si>
  <si>
    <t xml:space="preserve">Aero0204</t>
  </si>
  <si>
    <t xml:space="preserve">Laser engraving on UIN plate</t>
  </si>
  <si>
    <t xml:space="preserve">RC Laser tech</t>
  </si>
  <si>
    <t xml:space="preserve">Aero0205</t>
  </si>
  <si>
    <t xml:space="preserve">Weighing scale-100Kg</t>
  </si>
  <si>
    <t xml:space="preserve">Venkateshwara Weighing</t>
  </si>
  <si>
    <t xml:space="preserve">Aero0206</t>
  </si>
  <si>
    <t xml:space="preserve">Square Flange Linear Bearing </t>
  </si>
  <si>
    <t xml:space="preserve">Aero0207</t>
  </si>
  <si>
    <t xml:space="preserve">Base Skid Mount</t>
  </si>
  <si>
    <t xml:space="preserve">Aero0208</t>
  </si>
  <si>
    <t xml:space="preserve">Vertical Mount 1</t>
  </si>
  <si>
    <t xml:space="preserve">Aero0209</t>
  </si>
  <si>
    <t xml:space="preserve">CF Tube</t>
  </si>
  <si>
    <t xml:space="preserve">CF Tube 25mm*22mm*1m </t>
  </si>
  <si>
    <t xml:space="preserve">Aero0210</t>
  </si>
  <si>
    <t xml:space="preserve">CF Tube 16mm*14mm*1m</t>
  </si>
  <si>
    <t xml:space="preserve">Aero0211</t>
  </si>
  <si>
    <t xml:space="preserve">SS Ball &amp; SS Rod</t>
  </si>
  <si>
    <t xml:space="preserve">Aero0212</t>
  </si>
  <si>
    <t xml:space="preserve">Servo motor 60Kg</t>
  </si>
  <si>
    <t xml:space="preserve">Aero0213</t>
  </si>
  <si>
    <t xml:space="preserve">Towerpro servo motor</t>
  </si>
  <si>
    <t xml:space="preserve">Aero0214</t>
  </si>
  <si>
    <t xml:space="preserve">Board</t>
  </si>
  <si>
    <t xml:space="preserve">3 Axis Stabilization Board</t>
  </si>
  <si>
    <t xml:space="preserve">APICO</t>
  </si>
  <si>
    <t xml:space="preserve">Aero0215</t>
  </si>
  <si>
    <t xml:space="preserve">Al parts</t>
  </si>
  <si>
    <t xml:space="preserve">Hor Tube Connector</t>
  </si>
  <si>
    <t xml:space="preserve">Aero0216</t>
  </si>
  <si>
    <t xml:space="preserve">45 deg tube_tube connector</t>
  </si>
  <si>
    <t xml:space="preserve">Aero0217</t>
  </si>
  <si>
    <t xml:space="preserve">Centre mount</t>
  </si>
  <si>
    <t xml:space="preserve">Aero0218</t>
  </si>
  <si>
    <t xml:space="preserve">BMS</t>
  </si>
  <si>
    <t xml:space="preserve">AI Computation Board-4GB variant</t>
  </si>
  <si>
    <t xml:space="preserve">Aero0219</t>
  </si>
  <si>
    <t xml:space="preserve">CF Plate sheet 500mm*500mm*2mm</t>
  </si>
  <si>
    <t xml:space="preserve">CF Plate sheet 300mm*200mm*2mm</t>
  </si>
  <si>
    <t xml:space="preserve">Aero0221</t>
  </si>
  <si>
    <t xml:space="preserve">Holybro M9N GPS</t>
  </si>
  <si>
    <t xml:space="preserve">Aero0222</t>
  </si>
  <si>
    <t xml:space="preserve">3DR Telemetry module</t>
  </si>
  <si>
    <t xml:space="preserve">Aero0223</t>
  </si>
  <si>
    <t xml:space="preserve">CF Hollow tube 16mm*1mm*1000mm</t>
  </si>
  <si>
    <t xml:space="preserve">Aero0224</t>
  </si>
  <si>
    <t xml:space="preserve">CF Square tube 18mm*14mm*1000mm/Matte</t>
  </si>
  <si>
    <t xml:space="preserve">Aero0225</t>
  </si>
  <si>
    <t xml:space="preserve">MN8017 Motor</t>
  </si>
  <si>
    <t xml:space="preserve">Aero0226</t>
  </si>
  <si>
    <t xml:space="preserve">Flame 80A ESC V2.0</t>
  </si>
  <si>
    <t xml:space="preserve">Aero0227</t>
  </si>
  <si>
    <t xml:space="preserve">Propellers NS30*10</t>
  </si>
  <si>
    <t xml:space="preserve">Aero0228</t>
  </si>
  <si>
    <t xml:space="preserve">M1500 PDB</t>
  </si>
  <si>
    <t xml:space="preserve">Aero0229</t>
  </si>
  <si>
    <t xml:space="preserve">6S 30mAh High Density battery</t>
  </si>
  <si>
    <t xml:space="preserve">Aero0230</t>
  </si>
  <si>
    <t xml:space="preserve">Mount</t>
  </si>
  <si>
    <t xml:space="preserve">Motor mount Top and Bottom</t>
  </si>
  <si>
    <t xml:space="preserve">Aero0231</t>
  </si>
  <si>
    <t xml:space="preserve">Airbot Mini carrier board PDB 180A</t>
  </si>
  <si>
    <t xml:space="preserve">Aero0232</t>
  </si>
  <si>
    <t xml:space="preserve">Lightware LW20 C (100 m) lidar in india</t>
  </si>
  <si>
    <t xml:space="preserve">Aero0233</t>
  </si>
  <si>
    <t xml:space="preserve">Tape</t>
  </si>
  <si>
    <t xml:space="preserve">MAPPERZ Liquid Electrical Tape</t>
  </si>
  <si>
    <t xml:space="preserve">Aero0234</t>
  </si>
  <si>
    <t xml:space="preserve">Strap</t>
  </si>
  <si>
    <t xml:space="preserve">20cm Lipo Battery Strap Belt Reusable Cable Tie Wrap</t>
  </si>
  <si>
    <t xml:space="preserve">Aero0235</t>
  </si>
  <si>
    <t xml:space="preserve">Adhesive</t>
  </si>
  <si>
    <t xml:space="preserve">3M 40mm Dia Multipurpose Double Sided Sponge Glue Adhesive Dash pad for GPS-4Pcs.</t>
  </si>
  <si>
    <t xml:space="preserve">Aero0236</t>
  </si>
  <si>
    <t xml:space="preserve">SafeConnect XT-60 Connector Harness for Parallel Connection Battery Adapter Lead (1M-2F)</t>
  </si>
  <si>
    <t xml:space="preserve">Aero0237</t>
  </si>
  <si>
    <t xml:space="preserve">High Quality Ultra Flexible 10AWG Silicone Wire 1m (Red)</t>
  </si>
  <si>
    <t xml:space="preserve">S.No</t>
  </si>
  <si>
    <t xml:space="preserve">Date</t>
  </si>
  <si>
    <t xml:space="preserve">PO #</t>
  </si>
  <si>
    <t xml:space="preserve">Description</t>
  </si>
  <si>
    <t xml:space="preserve">Qty</t>
  </si>
  <si>
    <t xml:space="preserve">Unit Price</t>
  </si>
  <si>
    <t xml:space="preserve">Sub Total</t>
  </si>
  <si>
    <t xml:space="preserve">GST</t>
  </si>
  <si>
    <t xml:space="preserve">Shipping</t>
  </si>
  <si>
    <t xml:space="preserve">Total Price</t>
  </si>
  <si>
    <t xml:space="preserve">Quote</t>
  </si>
  <si>
    <t xml:space="preserve">Project</t>
  </si>
  <si>
    <t xml:space="preserve">Status</t>
  </si>
  <si>
    <t xml:space="preserve">Warranty terms</t>
  </si>
  <si>
    <t xml:space="preserve">Remarks</t>
  </si>
  <si>
    <t xml:space="preserve">Link</t>
  </si>
  <si>
    <t xml:space="preserve">NRSC</t>
  </si>
  <si>
    <t xml:space="preserve">Received</t>
  </si>
  <si>
    <t xml:space="preserve">AGRI-P0001</t>
  </si>
  <si>
    <t xml:space="preserve">Customization &amp; Setup of Trans-receiver</t>
  </si>
  <si>
    <t xml:space="preserve">Apico</t>
  </si>
  <si>
    <t xml:space="preserve">Drone Trans-receiver</t>
  </si>
  <si>
    <t xml:space="preserve">Online order/COD</t>
  </si>
  <si>
    <t xml:space="preserve">Lug Connector</t>
  </si>
  <si>
    <t xml:space="preserve">PCB Enclosure</t>
  </si>
  <si>
    <t xml:space="preserve">Sidewall</t>
  </si>
  <si>
    <t xml:space="preserve">Calibration Testing(NABL certification)</t>
  </si>
  <si>
    <t xml:space="preserve">Dynamic Calibration</t>
  </si>
  <si>
    <t xml:space="preserve">03/24-25</t>
  </si>
  <si>
    <t xml:space="preserve">Monotech</t>
  </si>
  <si>
    <t xml:space="preserve">MX860</t>
  </si>
  <si>
    <t xml:space="preserve">For Price validation</t>
  </si>
  <si>
    <t xml:space="preserve">M1200</t>
  </si>
  <si>
    <t xml:space="preserve">Bottom Plate-sensor Holder</t>
  </si>
  <si>
    <t xml:space="preserve">Top Plate- Sensor Holder</t>
  </si>
  <si>
    <t xml:space="preserve">Portable Generator</t>
  </si>
  <si>
    <t xml:space="preserve">Yet to Place</t>
  </si>
  <si>
    <t xml:space="preserve">Waiting for Tech team confirmation</t>
  </si>
  <si>
    <t xml:space="preserve">NANO</t>
  </si>
  <si>
    <t xml:space="preserve">Engineer store</t>
  </si>
  <si>
    <t xml:space="preserve">Order cancelled</t>
  </si>
  <si>
    <t xml:space="preserve">COD</t>
  </si>
  <si>
    <t xml:space="preserve">Pio printers</t>
  </si>
  <si>
    <t xml:space="preserve">ALL</t>
  </si>
  <si>
    <t xml:space="preserve">Printing machine-Label Sticker</t>
  </si>
  <si>
    <t xml:space="preserve">EPSON</t>
  </si>
  <si>
    <t xml:space="preserve">INVENTORY</t>
  </si>
  <si>
    <t xml:space="preserve">Nozzle</t>
  </si>
  <si>
    <t xml:space="preserve">Hose Pipe 6mm OD 4MM ID</t>
  </si>
  <si>
    <t xml:space="preserve">Hose Pipe 8mm OD 6MM ID</t>
  </si>
  <si>
    <t xml:space="preserve">Hose Pipe 10mm OD 8MM ID</t>
  </si>
  <si>
    <t xml:space="preserve">Hose Pipe 12mm OD 10MM ID</t>
  </si>
  <si>
    <t xml:space="preserve">PU Hose Tube cutter</t>
  </si>
  <si>
    <t xml:space="preserve">Servo cables-45cm</t>
  </si>
  <si>
    <t xml:space="preserve">Order Placed</t>
  </si>
  <si>
    <t xml:space="preserve">Sensor for PDRL Testing</t>
  </si>
  <si>
    <t xml:space="preserve">Tolerance Plate</t>
  </si>
  <si>
    <t xml:space="preserve">Lug connector enclosing plate</t>
  </si>
  <si>
    <t xml:space="preserve">AMUSE </t>
  </si>
  <si>
    <t xml:space="preserve">AGRI-TC</t>
  </si>
  <si>
    <t xml:space="preserve">1/8 inch water flow sensor-YF-S401</t>
  </si>
  <si>
    <t xml:space="preserve">ZBOTICS</t>
  </si>
  <si>
    <t xml:space="preserve">MACFOS LIMITED</t>
  </si>
  <si>
    <t xml:space="preserve">MK15 Remote controller </t>
  </si>
  <si>
    <t xml:space="preserve">E610P frame with Tank</t>
  </si>
  <si>
    <t xml:space="preserve">Tattu 6S 22000 mAh battery </t>
  </si>
  <si>
    <t xml:space="preserve">Hobbywing X6 Plus 150KV motor CW combo</t>
  </si>
  <si>
    <t xml:space="preserve">SKYRC 1080W charger</t>
  </si>
  <si>
    <t xml:space="preserve">Hobbywing 5LPM sprayer kit</t>
  </si>
  <si>
    <t xml:space="preserve">EFT Hexa PDB</t>
  </si>
  <si>
    <t xml:space="preserve">MR72 77Ghz collision Avoidance radar</t>
  </si>
  <si>
    <t xml:space="preserve">Amass XT60H male connector with Housing</t>
  </si>
  <si>
    <t xml:space="preserve">XKC-Y25 NPN Intelligent Non-contact liquid water level sensor</t>
  </si>
  <si>
    <t xml:space="preserve">Anti vibration shock absorber for APM/KK/MWC/Pixhawk</t>
  </si>
  <si>
    <t xml:space="preserve">Safeconnect twisted 45cm servo cable</t>
  </si>
  <si>
    <t xml:space="preserve">Safeconnect twisted 60cm servo cable</t>
  </si>
  <si>
    <t xml:space="preserve">Amass XT150 Gold plated Male connector 1 Piece</t>
  </si>
  <si>
    <t xml:space="preserve">XT150 Gold plated female connector 1 piece</t>
  </si>
  <si>
    <t xml:space="preserve">CF Sheet 400mm*380mm*3mm Thick</t>
  </si>
  <si>
    <t xml:space="preserve">HINDUSTAN ENGINEERS</t>
  </si>
  <si>
    <t xml:space="preserve">CF Sheet 300mm*200mm*2mm Thick</t>
  </si>
  <si>
    <t xml:space="preserve">CF Sheet 300mm*300mm*1mm Thick</t>
  </si>
  <si>
    <t xml:space="preserve">Mauch 076 sensor </t>
  </si>
  <si>
    <t xml:space="preserve">VYOM DRONES</t>
  </si>
  <si>
    <t xml:space="preserve">Mauch BEC</t>
  </si>
  <si>
    <t xml:space="preserve">Mauch 086 Adapter cable for pixhawk</t>
  </si>
  <si>
    <t xml:space="preserve">Cube Orange Plus with ADSB</t>
  </si>
  <si>
    <t xml:space="preserve">Here 3+ GPS</t>
  </si>
  <si>
    <t xml:space="preserve">Top Plate-water jet cutting</t>
  </si>
  <si>
    <t xml:space="preserve">ALIND</t>
  </si>
  <si>
    <t xml:space="preserve">Bottom Plate-Water jet cutting</t>
  </si>
  <si>
    <t xml:space="preserve">Collision sensor CF Plate-Water jet cutting</t>
  </si>
  <si>
    <t xml:space="preserve">FC Platform plate-Water jet cutting</t>
  </si>
  <si>
    <t xml:space="preserve">UIN Plate(2 nos)</t>
  </si>
  <si>
    <t xml:space="preserve">K SQUARE ENGINEERING</t>
  </si>
  <si>
    <t xml:space="preserve">P0001</t>
  </si>
  <si>
    <t xml:space="preserve">Agri Carry case</t>
  </si>
  <si>
    <t xml:space="preserve">Bricks</t>
  </si>
  <si>
    <t xml:space="preserve">Flipkart</t>
  </si>
  <si>
    <t xml:space="preserve">50KG CI weight</t>
  </si>
  <si>
    <t xml:space="preserve">Venkateswara weighing services</t>
  </si>
  <si>
    <t xml:space="preserve">20KG CI weight</t>
  </si>
  <si>
    <t xml:space="preserve">High Quality Ultra Flexible 8AWG Silicon Wire 1m (Black)</t>
  </si>
  <si>
    <t xml:space="preserve">High Quality Ultra Flexible 8AWG Silicon Wire 1m (Red)</t>
  </si>
  <si>
    <t xml:space="preserve">2mm Plate 01-Water jet cutting</t>
  </si>
  <si>
    <t xml:space="preserve">P0002</t>
  </si>
  <si>
    <t xml:space="preserve">2mm Plate 02- Water jet cutting</t>
  </si>
  <si>
    <t xml:space="preserve">3mm Plate 01- Water jet cutting</t>
  </si>
  <si>
    <t xml:space="preserve">L MOUNT for skid-3D Printed parts</t>
  </si>
  <si>
    <t xml:space="preserve">Sensor mount bottom-3D printed parts</t>
  </si>
  <si>
    <t xml:space="preserve">sensor mount top-3D printed parts</t>
  </si>
  <si>
    <t xml:space="preserve">Skid T Joint-3D printed parts</t>
  </si>
  <si>
    <t xml:space="preserve">Damper Connector</t>
  </si>
  <si>
    <t xml:space="preserve">3mm Plate 02-Water jet cutting</t>
  </si>
  <si>
    <t xml:space="preserve">2mm Plate 03-Water jet cutting</t>
  </si>
  <si>
    <t xml:space="preserve">Triangular Sheet Arm Mount</t>
  </si>
  <si>
    <t xml:space="preserve">Horizontal sensor mount</t>
  </si>
  <si>
    <t xml:space="preserve">Hobbywing 2480 Propeller Adaptor</t>
  </si>
  <si>
    <t xml:space="preserve">2mm CF Plate</t>
  </si>
  <si>
    <t xml:space="preserve">Triangular Sheet Arm Mount-Lower</t>
  </si>
  <si>
    <t xml:space="preserve">Peizo sensor rubber sheet</t>
  </si>
  <si>
    <t xml:space="preserve">Part 1 sensor mount plate</t>
  </si>
  <si>
    <t xml:space="preserve">Part 2 sensor mount plate</t>
  </si>
  <si>
    <t xml:space="preserve">Part 1 Assembly-Water jet cutting</t>
  </si>
  <si>
    <t xml:space="preserve">Part 2 Assembly-Water jet cutting</t>
  </si>
  <si>
    <t xml:space="preserve">CF plates-Water jet cutting</t>
  </si>
  <si>
    <t xml:space="preserve">Bhima Plate-Water jet cutting</t>
  </si>
  <si>
    <t xml:space="preserve">P0006</t>
  </si>
  <si>
    <t xml:space="preserve">E616P frame without tank</t>
  </si>
  <si>
    <t xml:space="preserve">P0004</t>
  </si>
  <si>
    <t xml:space="preserve">15 Days/Manufacturing defects</t>
  </si>
  <si>
    <t xml:space="preserve">Aero0220</t>
  </si>
  <si>
    <t xml:space="preserve">Not in stock</t>
  </si>
  <si>
    <t xml:space="preserve">NANO IA</t>
  </si>
  <si>
    <t xml:space="preserve">CF Square tube 20mm*16mm*1000mm/Gloss</t>
  </si>
  <si>
    <t xml:space="preserve">Motor Mount Top and Bottom</t>
  </si>
  <si>
    <t xml:space="preserve">Waiting for approval</t>
  </si>
  <si>
    <t xml:space="preserve">Here 3+ – CAN GPS with in India</t>
  </si>
  <si>
    <t xml:space="preserve">Moved to finance</t>
  </si>
  <si>
    <t xml:space="preserve">Cube Orange Plus AutoPilot with ADS-B Carrier Board</t>
  </si>
  <si>
    <t xml:space="preserve">Airbot PDB</t>
  </si>
  <si>
    <t xml:space="preserve">High Quality Ultra Flexible 16AWG Silicone Wire 5m (Black)</t>
  </si>
  <si>
    <t xml:space="preserve">High Quality Ultra Flexible 16AWG Silicone Wire 1m (Red)</t>
  </si>
  <si>
    <t xml:space="preserve">Aero0238</t>
  </si>
  <si>
    <t xml:space="preserve">Large Space Fire and Water Resistant Lipo Battery Bag (26x18x13cm)</t>
  </si>
  <si>
    <t xml:space="preserve">Amass XT60H Male Connector with Housing</t>
  </si>
  <si>
    <t xml:space="preserve">XT90Male connector</t>
  </si>
  <si>
    <t xml:space="preserve">Anti-Vibration Shock Absorber for APM/KK/MWC/PixHawk</t>
  </si>
  <si>
    <t xml:space="preserve">Aero0239</t>
  </si>
  <si>
    <t xml:space="preserve">Matek UBEC DUO, 4A/5~12V &amp; 4A/5V</t>
  </si>
  <si>
    <t xml:space="preserve">Aero0240</t>
  </si>
  <si>
    <t xml:space="preserve">iFlight Blitz BEC 5V/12V Power Supply Module</t>
  </si>
  <si>
    <t xml:space="preserve">Aero0241</t>
  </si>
  <si>
    <t xml:space="preserve">Stainless Steel Hex Drive Countersunk Flat Head Screws (Pack of 10) M3X0.5 10MM</t>
  </si>
  <si>
    <t xml:space="preserve">Trisonica sensor</t>
  </si>
  <si>
    <t xml:space="preserve">Li-cor</t>
  </si>
  <si>
    <t xml:space="preserve">Jetson Nano Board</t>
  </si>
  <si>
    <t xml:space="preserve">Multiple vendors</t>
  </si>
  <si>
    <t xml:space="preserve">Exicom</t>
  </si>
  <si>
    <t xml:space="preserve">Aquatronics</t>
  </si>
  <si>
    <t xml:space="preserve">SATCOM-Antenna</t>
  </si>
  <si>
    <t xml:space="preserve">Bus Bar</t>
  </si>
  <si>
    <t xml:space="preserve">Local/Amazon</t>
  </si>
  <si>
    <t xml:space="preserve">HOLD</t>
  </si>
  <si>
    <t xml:space="preserve">Waterjet Cutting</t>
  </si>
  <si>
    <t xml:space="preserve">Lug</t>
  </si>
  <si>
    <t xml:space="preserve">Aluminium sheet with bending and holes</t>
  </si>
  <si>
    <t xml:space="preserve">Invoice Date</t>
  </si>
  <si>
    <t xml:space="preserve">Subtotal</t>
  </si>
  <si>
    <t xml:space="preserve">P0001&amp; P0002</t>
  </si>
  <si>
    <t xml:space="preserve">Elecdrones Technologies</t>
  </si>
  <si>
    <t xml:space="preserve">P0003</t>
  </si>
  <si>
    <t xml:space="preserve">Aerotek </t>
  </si>
  <si>
    <t xml:space="preserve">Inventory</t>
  </si>
  <si>
    <t xml:space="preserve">K square Engineering</t>
  </si>
  <si>
    <t xml:space="preserve">Void Stickers</t>
  </si>
  <si>
    <t xml:space="preserve">Pio Printers Pvt Ltd</t>
  </si>
  <si>
    <t xml:space="preserve">LOCAL</t>
  </si>
  <si>
    <t xml:space="preserve">Dampner connector</t>
  </si>
  <si>
    <t xml:space="preserve">Carbon fiber thick-3mm Thick- Water jet cutting</t>
  </si>
  <si>
    <t xml:space="preserve">Carbon fiber thick-3mm Thick-Water jet cutting</t>
  </si>
  <si>
    <t xml:space="preserve">Base skid mount</t>
  </si>
  <si>
    <t xml:space="preserve">Aerotek Products</t>
  </si>
  <si>
    <t xml:space="preserve">Vertical mount</t>
  </si>
  <si>
    <t xml:space="preserve">Triangular sensor mount</t>
  </si>
  <si>
    <t xml:space="preserve">CF 2mm Thick- Water jet cutting- 4nos</t>
  </si>
  <si>
    <t xml:space="preserve">Part 1 sensor mount-Water jet cutting</t>
  </si>
  <si>
    <t xml:space="preserve">Part 2 sensor mount-Water jet cutting</t>
  </si>
  <si>
    <t xml:space="preserve">Think robotics</t>
  </si>
  <si>
    <t xml:space="preserve">AI Computation Board</t>
  </si>
  <si>
    <t xml:space="preserve">CF Plate Internal support-Water jet cutting</t>
  </si>
  <si>
    <t xml:space="preserve">CF Plate-Water jet cutting</t>
  </si>
  <si>
    <t xml:space="preserve">Client</t>
  </si>
  <si>
    <t xml:space="preserve">Client details</t>
  </si>
  <si>
    <t xml:space="preserve">Product</t>
  </si>
  <si>
    <t xml:space="preserve">NRSC &amp; AGRI-P0001</t>
  </si>
  <si>
    <t xml:space="preserve">Payment processed for 75,000</t>
  </si>
  <si>
    <t xml:space="preserve">Material received</t>
  </si>
  <si>
    <t xml:space="preserve">Carrycase &amp; Aluminium mount-Material received
- Payment from Aalayam Contructions</t>
  </si>
  <si>
    <t xml:space="preserve">Project completed</t>
  </si>
  <si>
    <t xml:space="preserve">Payment from Aalayam constructions</t>
  </si>
  <si>
    <t xml:space="preserve">Calibration Testing for measuring instruments</t>
  </si>
  <si>
    <t xml:space="preserve">PUMP</t>
  </si>
  <si>
    <t xml:space="preserve">Top Plate</t>
  </si>
  <si>
    <t xml:space="preserve">Material received/Payment from Aalayam constructions</t>
  </si>
  <si>
    <t xml:space="preserve">For Label stickers</t>
  </si>
  <si>
    <t xml:space="preserve">For Obstacle avoidance sensor ship it to PDRL</t>
  </si>
  <si>
    <t xml:space="preserve">Terms</t>
  </si>
  <si>
    <t xml:space="preserve">Full form/Understanding</t>
  </si>
  <si>
    <t xml:space="preserve">Possibility of usage in the Drone</t>
  </si>
  <si>
    <t xml:space="preserve">It will not be used in the Drone</t>
  </si>
  <si>
    <t xml:space="preserve">Numbers</t>
  </si>
  <si>
    <t xml:space="preserve">Defines the quantity, that will be used in the Drone</t>
  </si>
  <si>
    <t xml:space="preserve">Project Specific</t>
  </si>
  <si>
    <t xml:space="preserve">Depends on the project needs</t>
  </si>
  <si>
    <t xml:space="preserve">It shows how much quantity is available in the Inventory</t>
  </si>
  <si>
    <t xml:space="preserve">P0001,P0002,P0003</t>
  </si>
  <si>
    <t xml:space="preserve">Represents Materials assigned to the project</t>
  </si>
  <si>
    <t xml:space="preserve">Team Members</t>
  </si>
  <si>
    <t xml:space="preserve">Starting Time</t>
  </si>
  <si>
    <t xml:space="preserve">Return Time</t>
  </si>
  <si>
    <t xml:space="preserve">Cab Number</t>
  </si>
  <si>
    <t xml:space="preserve">Cab Driver Details</t>
  </si>
  <si>
    <t xml:space="preserve">Location</t>
  </si>
  <si>
    <t xml:space="preserve">Total Amount</t>
  </si>
  <si>
    <t xml:space="preserve">CRRI</t>
  </si>
  <si>
    <t xml:space="preserve">Hari,Gokul,Balaji</t>
  </si>
  <si>
    <t xml:space="preserve">7:10AM</t>
  </si>
  <si>
    <t xml:space="preserve">TN05 CR9226</t>
  </si>
  <si>
    <t xml:space="preserve">Prasanth- 6369940114</t>
  </si>
  <si>
    <t xml:space="preserve">Nagari,Chittor</t>
  </si>
  <si>
    <t xml:space="preserve">BHIMA</t>
  </si>
  <si>
    <t xml:space="preserve">Balaji,Arun,Revanth,Gokul</t>
  </si>
  <si>
    <t xml:space="preserve">10:00AM</t>
  </si>
  <si>
    <t xml:space="preserve">7:30PM</t>
  </si>
  <si>
    <t xml:space="preserve">TN04 BD2431</t>
  </si>
  <si>
    <t xml:space="preserve">Karthick-7358313385</t>
  </si>
  <si>
    <t xml:space="preserve">Padappai</t>
  </si>
  <si>
    <t xml:space="preserve">TN45 BK 0983</t>
  </si>
  <si>
    <t xml:space="preserve">Selva-9600634465</t>
  </si>
  <si>
    <t xml:space="preserve">5:00PM</t>
  </si>
  <si>
    <t xml:space="preserve">TN48 AR6286</t>
  </si>
  <si>
    <t xml:space="preserve">Ram- 9384759298</t>
  </si>
  <si>
    <t xml:space="preserve">Santhosh &amp; Client visit</t>
  </si>
  <si>
    <t xml:space="preserve">12:30PM</t>
  </si>
  <si>
    <t xml:space="preserve">TN67 BQ6822</t>
  </si>
  <si>
    <t xml:space="preserve">Ajmal- 7094623223</t>
  </si>
  <si>
    <t xml:space="preserve">Deepak,Gokul,Balaji,Ganesnan</t>
  </si>
  <si>
    <t xml:space="preserve">06:20AM</t>
  </si>
  <si>
    <t xml:space="preserve">5:35PM</t>
  </si>
  <si>
    <t xml:space="preserve">TN06 C6526</t>
  </si>
  <si>
    <t xml:space="preserve">Arul - 88385 70451</t>
  </si>
  <si>
    <t xml:space="preserve">BHIMA &amp; CRRI</t>
  </si>
  <si>
    <t xml:space="preserve">Balaji, Gokul, Aksash &amp; Hari</t>
  </si>
  <si>
    <t xml:space="preserve">06:30AM</t>
  </si>
  <si>
    <t xml:space="preserve">03:30PM</t>
  </si>
  <si>
    <t xml:space="preserve">TN 48 BH0750</t>
  </si>
  <si>
    <t xml:space="preserve">Raj Kumar- 9884847827</t>
  </si>
  <si>
    <t xml:space="preserve">Gokul,Arun,Revanth &amp; Exicom team</t>
  </si>
  <si>
    <t xml:space="preserve">7:40PM</t>
  </si>
  <si>
    <t xml:space="preserve">TN22CJ8048</t>
  </si>
  <si>
    <t xml:space="preserve">Vijayakumar-9786039559</t>
  </si>
  <si>
    <t xml:space="preserve">P0006 </t>
  </si>
  <si>
    <t xml:space="preserve">Balaji, Arun, Hari, Vedanth &amp; Akash</t>
  </si>
  <si>
    <t xml:space="preserve">03:35PM</t>
  </si>
  <si>
    <t xml:space="preserve">Balaji,Gokul,Deepak and Sumit(CRRI)</t>
  </si>
  <si>
    <t xml:space="preserve">06:50AM</t>
  </si>
  <si>
    <t xml:space="preserve">9:30PM</t>
  </si>
  <si>
    <t xml:space="preserve">TN06M 3056</t>
  </si>
  <si>
    <t xml:space="preserve">Pradeep- 9597856428</t>
  </si>
  <si>
    <t xml:space="preserve">BOM product list</t>
  </si>
  <si>
    <t xml:space="preserve">SKU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</si>
</sst>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&quot;₹ &quot;* #,##0.00_ ;_ &quot;₹ &quot;* \-#,##0.00_ ;_ &quot;₹ &quot;* \-??_ ;_ @_ "/>
    <numFmt numFmtId="166" formatCode="m/d/yyyy"/>
    <numFmt numFmtId="167" formatCode="General"/>
    <numFmt numFmtId="168" formatCode="_ * #,##0.00_ ;_ * \-#,##0.00_ ;_ * \-??_ ;_ @_ "/>
    <numFmt numFmtId="169" formatCode="0%"/>
    <numFmt numFmtId="170" formatCode="_ &quot;₹ &quot;* #,##0_ ;_ &quot;₹ &quot;* \-#,##0_ ;_ &quot;₹ &quot;* \-??_ ;_ @_ "/>
    <numFmt numFmtId="171" formatCode="h:mm\ AM/P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u val="single"/>
      <sz val="12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052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7DEE8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C0006"/>
      </patternFill>
    </fill>
    <fill>
      <patternFill patternType="solid">
        <fgColor theme="8" tint="0.5999"/>
        <bgColor rgb="FF99CCFF"/>
      </patternFill>
    </fill>
    <fill>
      <patternFill patternType="solid">
        <fgColor theme="9" tint="0.3999"/>
        <bgColor rgb="FFFFC7C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C7CE"/>
      <rgbColor rgb="FFCC99FF"/>
      <rgbColor rgb="FFFAC09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52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adgetsdeal.in/shop/quadcopter/fpv/herelink-in-india/" TargetMode="External"/><Relationship Id="rId2" Type="http://schemas.openxmlformats.org/officeDocument/2006/relationships/hyperlink" Target="https://www.drkstore.in/gemfan-hurricane-sl-5125-tri-blade-5-prop-4-pack-5mm-1-5mm-mounting/" TargetMode="External"/><Relationship Id="rId3" Type="http://schemas.openxmlformats.org/officeDocument/2006/relationships/hyperlink" Target="https://robu.in/product/px4flow-v1-3-1-optical-flow-sensor-smart-camera/" TargetMode="External"/><Relationship Id="rId4" Type="http://schemas.openxmlformats.org/officeDocument/2006/relationships/hyperlink" Target="https://gadgetsdeal.in/shop/seagull/seagull-rec-sony-multi-camera-controller/" TargetMode="External"/><Relationship Id="rId5" Type="http://schemas.openxmlformats.org/officeDocument/2006/relationships/hyperlink" Target="https://robu.in/product/sandisk-micro-sdxc-ush-i-64gb-class-10-memory-card/?gclid=Cj0KCQjw2MWVBhCQARIsAIjbwoPgLkzcP1fGUHGaAgUVijHIrwmO7sOi64ZeVe6UdYIq97W_s7UVVFUaAoShEALw_wcB" TargetMode="External"/><Relationship Id="rId6" Type="http://schemas.openxmlformats.org/officeDocument/2006/relationships/hyperlink" Target="https://robu.in/product/2-13s-5v-5a-bec-for-quadcopter-drone/" TargetMode="External"/><Relationship Id="rId7" Type="http://schemas.openxmlformats.org/officeDocument/2006/relationships/hyperlink" Target="https://robu.in/product/pixhawk-px4-autopilot-pix-2-4-8-32-bit-flight-controller/?gclid=CjwKCAjw-8qVBhANEiwAfjXLrvqGgMriqb8nakHFJQ53OpxjqsDOO4FWUoCmpitVwkJ26lnTyxt2wBoCfPIQAvD_Bw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orkdrive.zoho.com/file/kgucg88caaca50bd04a6eace3280433c3be9d" TargetMode="External"/><Relationship Id="rId2" Type="http://schemas.openxmlformats.org/officeDocument/2006/relationships/hyperlink" Target="https://workdrive.zoho.com/file/kgucg88caaca50bd04a6eace3280433c3be9d" TargetMode="External"/><Relationship Id="rId3" Type="http://schemas.openxmlformats.org/officeDocument/2006/relationships/hyperlink" Target="https://workdrive.zoho.com/file/kgucg1be92da0e215475c8c2e20c4fdcbb011" TargetMode="External"/><Relationship Id="rId4" Type="http://schemas.openxmlformats.org/officeDocument/2006/relationships/hyperlink" Target="https://workdrive.zoho.com/file/kgucg598cd26a2ebe4a289e2428855f03f7d8" TargetMode="External"/><Relationship Id="rId5" Type="http://schemas.openxmlformats.org/officeDocument/2006/relationships/hyperlink" Target="https://workdrive.zoho.com/file/kgucg598cd26a2ebe4a289e2428855f03f7d8" TargetMode="External"/><Relationship Id="rId6" Type="http://schemas.openxmlformats.org/officeDocument/2006/relationships/hyperlink" Target="https://workdrive.zoho.com/file/tzwxt0260ac72ae3043589d81f842679f54d3" TargetMode="External"/><Relationship Id="rId7" Type="http://schemas.openxmlformats.org/officeDocument/2006/relationships/hyperlink" Target="https://workdrive.zoho.com/file/tzwxt1c6d176fc55441678c638fe614c9466d" TargetMode="External"/><Relationship Id="rId8" Type="http://schemas.openxmlformats.org/officeDocument/2006/relationships/hyperlink" Target="https://workdrive.zoho.com/file/u03w63d28f1426aac419484d898514136bb33" TargetMode="External"/><Relationship Id="rId9" Type="http://schemas.openxmlformats.org/officeDocument/2006/relationships/hyperlink" Target="https://workdrive.zoho.com/file/u03w63d28f1426aac419484d898514136bb33" TargetMode="External"/><Relationship Id="rId10" Type="http://schemas.openxmlformats.org/officeDocument/2006/relationships/hyperlink" Target="https://workdrive.zoho.com/file/u03w693fe6473277644c3af606c561bb22683" TargetMode="External"/><Relationship Id="rId11" Type="http://schemas.openxmlformats.org/officeDocument/2006/relationships/hyperlink" Target="https://workdrive.zoho.com/file/u2ez1b6a3400125c84f37bb91f70ebb1bc938" TargetMode="External"/><Relationship Id="rId12" Type="http://schemas.openxmlformats.org/officeDocument/2006/relationships/hyperlink" Target="https://workdrive.zoho.com/file/u2ez1b6a3400125c84f37bb91f70ebb1bc938" TargetMode="External"/><Relationship Id="rId13" Type="http://schemas.openxmlformats.org/officeDocument/2006/relationships/hyperlink" Target="https://workdrive.zoho.com/file/u2ez1649c9a91ff9144d4a93db86c14915566" TargetMode="External"/><Relationship Id="rId14" Type="http://schemas.openxmlformats.org/officeDocument/2006/relationships/hyperlink" Target="https://workdrive.zoho.com/file/u2ez1649c9a91ff9144d4a93db86c14915566" TargetMode="External"/><Relationship Id="rId15" Type="http://schemas.openxmlformats.org/officeDocument/2006/relationships/hyperlink" Target="https://workdrive.zoho.com/file/u2ez1649c9a91ff9144d4a93db86c14915566" TargetMode="External"/><Relationship Id="rId16" Type="http://schemas.openxmlformats.org/officeDocument/2006/relationships/hyperlink" Target="https://workdrive.zoho.com/file/u2ez10dadc96a472b4153a3f10fe5a04af25b" TargetMode="External"/><Relationship Id="rId17" Type="http://schemas.openxmlformats.org/officeDocument/2006/relationships/hyperlink" Target="https://workdrive.zoho.com/file/u2ez10dadc96a472b4153a3f10fe5a04af25b" TargetMode="External"/><Relationship Id="rId18" Type="http://schemas.openxmlformats.org/officeDocument/2006/relationships/hyperlink" Target="https://workdrive.zoho.com/file/u2ez1c5521fa528174fbea2731c9aafbff34e" TargetMode="External"/><Relationship Id="rId19" Type="http://schemas.openxmlformats.org/officeDocument/2006/relationships/hyperlink" Target="https://workdrive.zoho.com/file/u2ez1c5521fa528174fbea2731c9aafbff34e" TargetMode="External"/><Relationship Id="rId20" Type="http://schemas.openxmlformats.org/officeDocument/2006/relationships/hyperlink" Target="https://workdrive.zoho.com/file/u2ez14db4e89153c543c9ae118c04fc0afd62" TargetMode="External"/><Relationship Id="rId21" Type="http://schemas.openxmlformats.org/officeDocument/2006/relationships/hyperlink" Target="https://workdrive.zoho.com/file/u2ez11c63b46d14984434bb786f5c30adfe0a" TargetMode="External"/><Relationship Id="rId22" Type="http://schemas.openxmlformats.org/officeDocument/2006/relationships/hyperlink" Target="https://workdrive.zoho.com/file/u2ez14916e1cac00648eb80170ecf7ca8edf2" TargetMode="External"/><Relationship Id="rId23" Type="http://schemas.openxmlformats.org/officeDocument/2006/relationships/hyperlink" Target="https://workdrive.zoho.com/file/u2ez1b7a3e1239c6d4a168236cc840b8ccd2e" TargetMode="External"/><Relationship Id="rId24" Type="http://schemas.openxmlformats.org/officeDocument/2006/relationships/hyperlink" Target="https://workdrive.zoho.com/file/u2ez1b61855fce1d04983b5ce8f5ab91c6197" TargetMode="External"/><Relationship Id="rId25" Type="http://schemas.openxmlformats.org/officeDocument/2006/relationships/hyperlink" Target="https://workdrive.zoho.com/file/u2ez19d29cc259af04df08dab3ff30f356cfa" TargetMode="External"/><Relationship Id="rId26" Type="http://schemas.openxmlformats.org/officeDocument/2006/relationships/hyperlink" Target="https://workdrive.zoho.com/file/u2ez19d29cc259af04df08dab3ff30f356cfa" TargetMode="External"/><Relationship Id="rId27" Type="http://schemas.openxmlformats.org/officeDocument/2006/relationships/hyperlink" Target="https://workdrive.zoho.com/file/u2ez1a0d9769f8f7e4cda9c0b1fff5102af55" TargetMode="External"/><Relationship Id="rId28" Type="http://schemas.openxmlformats.org/officeDocument/2006/relationships/hyperlink" Target="https://workdrive.zoho.com/file/u2ez1a0d9769f8f7e4cda9c0b1fff5102af55" TargetMode="External"/><Relationship Id="rId29" Type="http://schemas.openxmlformats.org/officeDocument/2006/relationships/hyperlink" Target="https://workdrive.zoho.com/file/u2ez1a633113a3fac438d99487f18f7bf07f0" TargetMode="External"/><Relationship Id="rId30" Type="http://schemas.openxmlformats.org/officeDocument/2006/relationships/hyperlink" Target="https://workdrive.zoho.com/file/u2ez1a633113a3fac438d99487f18f7bf07f0" TargetMode="External"/><Relationship Id="rId31" Type="http://schemas.openxmlformats.org/officeDocument/2006/relationships/hyperlink" Target="https://workdrive.zoho.com/file/u2ez10be5089e64144a2b9953f1f3d9e3af3a" TargetMode="External"/><Relationship Id="rId32" Type="http://schemas.openxmlformats.org/officeDocument/2006/relationships/hyperlink" Target="https://workdrive.zoho.com/file/u2ez10be5089e64144a2b9953f1f3d9e3af3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25" activePane="bottomRight" state="frozen"/>
      <selection pane="topLeft" activeCell="A1" activeCellId="0" sqref="A1"/>
      <selection pane="topRight" activeCell="B1" activeCellId="0" sqref="B1"/>
      <selection pane="bottomLeft" activeCell="A225" activeCellId="0" sqref="A225"/>
      <selection pane="bottomRight" activeCell="D245" activeCellId="0" sqref="D245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5.18"/>
    <col collapsed="false" customWidth="true" hidden="false" outlineLevel="0" max="2" min="2" style="1" width="17.82"/>
    <col collapsed="false" customWidth="true" hidden="false" outlineLevel="0" max="3" min="3" style="1" width="17.73"/>
    <col collapsed="false" customWidth="true" hidden="false" outlineLevel="0" max="4" min="4" style="1" width="95.54"/>
    <col collapsed="false" customWidth="true" hidden="false" outlineLevel="0" max="5" min="5" style="1" width="23.45"/>
    <col collapsed="false" customWidth="true" hidden="false" outlineLevel="0" max="6" min="6" style="1" width="19.54"/>
    <col collapsed="false" customWidth="true" hidden="false" outlineLevel="0" max="7" min="7" style="1" width="19.27"/>
    <col collapsed="false" customWidth="true" hidden="false" outlineLevel="0" max="8" min="8" style="1" width="6"/>
    <col collapsed="false" customWidth="true" hidden="false" outlineLevel="0" max="14" min="9" style="1" width="14.18"/>
    <col collapsed="false" customWidth="true" hidden="false" outlineLevel="0" max="15" min="15" style="1" width="12"/>
    <col collapsed="false" customWidth="true" hidden="false" outlineLevel="0" max="18" min="16" style="1" width="16.27"/>
    <col collapsed="false" customWidth="true" hidden="false" outlineLevel="0" max="19" min="19" style="1" width="1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customFormat="false" ht="15" hidden="false" customHeight="false" outlineLevel="0" collapsed="false">
      <c r="A2" s="4" t="s">
        <v>19</v>
      </c>
      <c r="B2" s="4" t="s">
        <v>20</v>
      </c>
      <c r="C2" s="5" t="s">
        <v>21</v>
      </c>
      <c r="D2" s="6" t="s">
        <v>22</v>
      </c>
      <c r="E2" s="5" t="s">
        <v>23</v>
      </c>
      <c r="F2" s="7" t="n">
        <v>28674</v>
      </c>
      <c r="G2" s="8" t="n">
        <v>45383</v>
      </c>
      <c r="H2" s="5" t="s">
        <v>24</v>
      </c>
      <c r="I2" s="4" t="s">
        <v>25</v>
      </c>
      <c r="J2" s="4" t="s">
        <v>25</v>
      </c>
      <c r="K2" s="4" t="n">
        <v>1</v>
      </c>
      <c r="L2" s="4" t="s">
        <v>25</v>
      </c>
      <c r="M2" s="4" t="s">
        <v>25</v>
      </c>
      <c r="N2" s="4" t="s">
        <v>25</v>
      </c>
      <c r="O2" s="9" t="n">
        <v>2</v>
      </c>
      <c r="P2" s="9"/>
      <c r="Q2" s="9"/>
      <c r="R2" s="9"/>
      <c r="S2" s="9" t="n">
        <f aca="false">O2-P2-Q2-R2</f>
        <v>2</v>
      </c>
    </row>
    <row r="3" customFormat="false" ht="15" hidden="false" customHeight="false" outlineLevel="0" collapsed="false">
      <c r="A3" s="4" t="s">
        <v>19</v>
      </c>
      <c r="B3" s="4" t="s">
        <v>26</v>
      </c>
      <c r="C3" s="5" t="s">
        <v>21</v>
      </c>
      <c r="D3" s="6" t="s">
        <v>27</v>
      </c>
      <c r="E3" s="5" t="s">
        <v>28</v>
      </c>
      <c r="F3" s="7" t="n">
        <v>23482</v>
      </c>
      <c r="G3" s="8" t="n">
        <v>45362</v>
      </c>
      <c r="H3" s="5" t="s">
        <v>24</v>
      </c>
      <c r="I3" s="4" t="n">
        <v>1</v>
      </c>
      <c r="J3" s="4" t="s">
        <v>25</v>
      </c>
      <c r="K3" s="4" t="s">
        <v>25</v>
      </c>
      <c r="L3" s="4" t="s">
        <v>25</v>
      </c>
      <c r="M3" s="4" t="s">
        <v>25</v>
      </c>
      <c r="N3" s="4" t="s">
        <v>25</v>
      </c>
      <c r="O3" s="9" t="n">
        <v>0</v>
      </c>
      <c r="P3" s="9"/>
      <c r="Q3" s="9"/>
      <c r="R3" s="9"/>
      <c r="S3" s="9" t="n">
        <f aca="false">O3-P3-Q3-R3</f>
        <v>0</v>
      </c>
    </row>
    <row r="4" customFormat="false" ht="15" hidden="false" customHeight="false" outlineLevel="0" collapsed="false">
      <c r="A4" s="4" t="s">
        <v>19</v>
      </c>
      <c r="B4" s="4" t="s">
        <v>29</v>
      </c>
      <c r="C4" s="5" t="s">
        <v>21</v>
      </c>
      <c r="D4" s="6" t="s">
        <v>30</v>
      </c>
      <c r="E4" s="5" t="s">
        <v>28</v>
      </c>
      <c r="F4" s="7" t="n">
        <v>14514</v>
      </c>
      <c r="G4" s="8" t="n">
        <v>45330</v>
      </c>
      <c r="H4" s="5" t="s">
        <v>24</v>
      </c>
      <c r="I4" s="4" t="s">
        <v>25</v>
      </c>
      <c r="J4" s="4" t="n">
        <v>1</v>
      </c>
      <c r="K4" s="4" t="s">
        <v>25</v>
      </c>
      <c r="L4" s="4" t="s">
        <v>25</v>
      </c>
      <c r="M4" s="4" t="s">
        <v>25</v>
      </c>
      <c r="N4" s="4" t="s">
        <v>25</v>
      </c>
      <c r="O4" s="9" t="n">
        <v>0</v>
      </c>
      <c r="P4" s="9"/>
      <c r="Q4" s="9"/>
      <c r="R4" s="9"/>
      <c r="S4" s="9" t="n">
        <f aca="false">O4-P4-Q4-R4</f>
        <v>0</v>
      </c>
    </row>
    <row r="5" customFormat="false" ht="15" hidden="false" customHeight="false" outlineLevel="0" collapsed="false">
      <c r="A5" s="4" t="s">
        <v>19</v>
      </c>
      <c r="B5" s="4" t="s">
        <v>31</v>
      </c>
      <c r="C5" s="5" t="s">
        <v>21</v>
      </c>
      <c r="D5" s="6" t="s">
        <v>32</v>
      </c>
      <c r="E5" s="5" t="s">
        <v>23</v>
      </c>
      <c r="F5" s="7" t="n">
        <v>32450</v>
      </c>
      <c r="G5" s="8" t="n">
        <v>45383</v>
      </c>
      <c r="H5" s="5" t="s">
        <v>24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n">
        <v>1</v>
      </c>
      <c r="O5" s="9" t="n">
        <v>0</v>
      </c>
      <c r="P5" s="9"/>
      <c r="Q5" s="9"/>
      <c r="R5" s="9"/>
      <c r="S5" s="9" t="n">
        <f aca="false">O5-P5-Q5-R5</f>
        <v>0</v>
      </c>
    </row>
    <row r="6" customFormat="false" ht="15" hidden="false" customHeight="false" outlineLevel="0" collapsed="false">
      <c r="A6" s="4" t="s">
        <v>19</v>
      </c>
      <c r="B6" s="4" t="s">
        <v>33</v>
      </c>
      <c r="C6" s="5" t="s">
        <v>21</v>
      </c>
      <c r="D6" s="10" t="s">
        <v>34</v>
      </c>
      <c r="E6" s="11" t="s">
        <v>23</v>
      </c>
      <c r="F6" s="12" t="n">
        <v>5000</v>
      </c>
      <c r="G6" s="13" t="n">
        <v>45334</v>
      </c>
      <c r="H6" s="5" t="s">
        <v>24</v>
      </c>
      <c r="I6" s="4" t="s">
        <v>25</v>
      </c>
      <c r="J6" s="4" t="s">
        <v>25</v>
      </c>
      <c r="K6" s="4" t="s">
        <v>25</v>
      </c>
      <c r="L6" s="4" t="s">
        <v>25</v>
      </c>
      <c r="M6" s="4" t="n">
        <v>1</v>
      </c>
      <c r="N6" s="4" t="s">
        <v>25</v>
      </c>
      <c r="O6" s="9" t="n">
        <v>0</v>
      </c>
      <c r="P6" s="9"/>
      <c r="Q6" s="9"/>
      <c r="R6" s="9"/>
      <c r="S6" s="9" t="n">
        <f aca="false">O6-P6-Q6-R6</f>
        <v>0</v>
      </c>
    </row>
    <row r="7" customFormat="false" ht="15" hidden="false" customHeight="false" outlineLevel="0" collapsed="false">
      <c r="A7" s="4" t="s">
        <v>19</v>
      </c>
      <c r="B7" s="4" t="s">
        <v>35</v>
      </c>
      <c r="C7" s="9" t="s">
        <v>36</v>
      </c>
      <c r="D7" s="10" t="s">
        <v>37</v>
      </c>
      <c r="E7" s="11" t="s">
        <v>38</v>
      </c>
      <c r="F7" s="12" t="n">
        <v>1420</v>
      </c>
      <c r="G7" s="13" t="n">
        <v>45391</v>
      </c>
      <c r="H7" s="5" t="s">
        <v>24</v>
      </c>
      <c r="I7" s="9" t="s">
        <v>39</v>
      </c>
      <c r="J7" s="9" t="s">
        <v>39</v>
      </c>
      <c r="K7" s="9" t="s">
        <v>39</v>
      </c>
      <c r="L7" s="9" t="s">
        <v>39</v>
      </c>
      <c r="M7" s="9" t="s">
        <v>39</v>
      </c>
      <c r="N7" s="9" t="s">
        <v>39</v>
      </c>
      <c r="O7" s="9" t="n">
        <v>1</v>
      </c>
      <c r="P7" s="9"/>
      <c r="Q7" s="9"/>
      <c r="R7" s="9"/>
      <c r="S7" s="9" t="n">
        <f aca="false">O7-P7-Q7-R7</f>
        <v>1</v>
      </c>
    </row>
    <row r="8" customFormat="false" ht="15" hidden="false" customHeight="false" outlineLevel="0" collapsed="false">
      <c r="A8" s="4" t="s">
        <v>19</v>
      </c>
      <c r="B8" s="4" t="s">
        <v>40</v>
      </c>
      <c r="C8" s="9" t="s">
        <v>36</v>
      </c>
      <c r="D8" s="10" t="s">
        <v>41</v>
      </c>
      <c r="E8" s="11" t="s">
        <v>38</v>
      </c>
      <c r="F8" s="12" t="n">
        <v>138</v>
      </c>
      <c r="G8" s="13" t="n">
        <v>45406</v>
      </c>
      <c r="H8" s="5" t="s">
        <v>24</v>
      </c>
      <c r="I8" s="9" t="s">
        <v>39</v>
      </c>
      <c r="J8" s="9" t="s">
        <v>39</v>
      </c>
      <c r="K8" s="9" t="s">
        <v>39</v>
      </c>
      <c r="L8" s="9" t="s">
        <v>39</v>
      </c>
      <c r="M8" s="9" t="s">
        <v>39</v>
      </c>
      <c r="N8" s="9" t="s">
        <v>39</v>
      </c>
      <c r="O8" s="9" t="n">
        <v>1</v>
      </c>
      <c r="P8" s="9" t="n">
        <v>1</v>
      </c>
      <c r="Q8" s="9"/>
      <c r="R8" s="9"/>
      <c r="S8" s="9" t="n">
        <f aca="false">O8-P8-Q8-R8</f>
        <v>0</v>
      </c>
    </row>
    <row r="9" customFormat="false" ht="15" hidden="false" customHeight="false" outlineLevel="0" collapsed="false">
      <c r="A9" s="4" t="s">
        <v>19</v>
      </c>
      <c r="B9" s="4" t="s">
        <v>42</v>
      </c>
      <c r="C9" s="9" t="s">
        <v>36</v>
      </c>
      <c r="D9" s="10" t="s">
        <v>43</v>
      </c>
      <c r="E9" s="11" t="s">
        <v>38</v>
      </c>
      <c r="F9" s="12" t="n">
        <v>303</v>
      </c>
      <c r="G9" s="13" t="n">
        <v>45406</v>
      </c>
      <c r="H9" s="5" t="s">
        <v>24</v>
      </c>
      <c r="I9" s="9" t="s">
        <v>39</v>
      </c>
      <c r="J9" s="9" t="s">
        <v>39</v>
      </c>
      <c r="K9" s="9" t="s">
        <v>39</v>
      </c>
      <c r="L9" s="9" t="s">
        <v>39</v>
      </c>
      <c r="M9" s="9" t="s">
        <v>39</v>
      </c>
      <c r="N9" s="9" t="s">
        <v>39</v>
      </c>
      <c r="O9" s="9" t="n">
        <v>1</v>
      </c>
      <c r="P9" s="9"/>
      <c r="Q9" s="9" t="n">
        <v>1</v>
      </c>
      <c r="R9" s="9"/>
      <c r="S9" s="9" t="n">
        <f aca="false">O9-P9-Q9-R9</f>
        <v>0</v>
      </c>
    </row>
    <row r="10" customFormat="false" ht="15" hidden="false" customHeight="false" outlineLevel="0" collapsed="false">
      <c r="A10" s="4" t="s">
        <v>19</v>
      </c>
      <c r="B10" s="4" t="s">
        <v>44</v>
      </c>
      <c r="C10" s="9" t="s">
        <v>36</v>
      </c>
      <c r="D10" s="10" t="s">
        <v>45</v>
      </c>
      <c r="E10" s="11" t="s">
        <v>38</v>
      </c>
      <c r="F10" s="14" t="n">
        <v>1291</v>
      </c>
      <c r="G10" s="13" t="n">
        <v>45406</v>
      </c>
      <c r="H10" s="5" t="s">
        <v>24</v>
      </c>
      <c r="I10" s="9" t="s">
        <v>39</v>
      </c>
      <c r="J10" s="9" t="s">
        <v>39</v>
      </c>
      <c r="K10" s="9" t="s">
        <v>39</v>
      </c>
      <c r="L10" s="9" t="s">
        <v>39</v>
      </c>
      <c r="M10" s="9" t="s">
        <v>39</v>
      </c>
      <c r="N10" s="9" t="s">
        <v>39</v>
      </c>
      <c r="O10" s="9" t="n">
        <v>1</v>
      </c>
      <c r="P10" s="9"/>
      <c r="Q10" s="9" t="n">
        <v>1</v>
      </c>
      <c r="R10" s="9"/>
      <c r="S10" s="9" t="n">
        <f aca="false">O10-P10-Q10-R10</f>
        <v>0</v>
      </c>
    </row>
    <row r="11" customFormat="false" ht="15" hidden="false" customHeight="false" outlineLevel="0" collapsed="false">
      <c r="A11" s="9" t="s">
        <v>19</v>
      </c>
      <c r="B11" s="4" t="s">
        <v>46</v>
      </c>
      <c r="C11" s="9" t="s">
        <v>36</v>
      </c>
      <c r="D11" s="10" t="s">
        <v>47</v>
      </c>
      <c r="E11" s="11" t="s">
        <v>38</v>
      </c>
      <c r="F11" s="14" t="n">
        <v>1937</v>
      </c>
      <c r="G11" s="13" t="n">
        <v>45406</v>
      </c>
      <c r="H11" s="5" t="s">
        <v>24</v>
      </c>
      <c r="I11" s="9" t="s">
        <v>39</v>
      </c>
      <c r="J11" s="9" t="s">
        <v>39</v>
      </c>
      <c r="K11" s="9" t="s">
        <v>39</v>
      </c>
      <c r="L11" s="9" t="s">
        <v>39</v>
      </c>
      <c r="M11" s="9" t="s">
        <v>39</v>
      </c>
      <c r="N11" s="9" t="s">
        <v>39</v>
      </c>
      <c r="O11" s="9" t="n">
        <v>3</v>
      </c>
      <c r="P11" s="9"/>
      <c r="Q11" s="9" t="n">
        <v>1</v>
      </c>
      <c r="R11" s="9"/>
      <c r="S11" s="9" t="n">
        <f aca="false">O11-P11-Q11-R11</f>
        <v>2</v>
      </c>
    </row>
    <row r="12" customFormat="false" ht="15" hidden="false" customHeight="false" outlineLevel="0" collapsed="false">
      <c r="A12" s="9" t="s">
        <v>19</v>
      </c>
      <c r="B12" s="4" t="s">
        <v>48</v>
      </c>
      <c r="C12" s="9" t="s">
        <v>36</v>
      </c>
      <c r="D12" s="10" t="s">
        <v>49</v>
      </c>
      <c r="E12" s="11" t="s">
        <v>38</v>
      </c>
      <c r="F12" s="14" t="n">
        <v>1076</v>
      </c>
      <c r="G12" s="13" t="n">
        <v>45406</v>
      </c>
      <c r="H12" s="5" t="s">
        <v>24</v>
      </c>
      <c r="I12" s="9" t="s">
        <v>39</v>
      </c>
      <c r="J12" s="9" t="s">
        <v>39</v>
      </c>
      <c r="K12" s="9" t="s">
        <v>39</v>
      </c>
      <c r="L12" s="9" t="s">
        <v>39</v>
      </c>
      <c r="M12" s="9" t="s">
        <v>39</v>
      </c>
      <c r="N12" s="9" t="s">
        <v>39</v>
      </c>
      <c r="O12" s="9" t="n">
        <v>2</v>
      </c>
      <c r="P12" s="9"/>
      <c r="Q12" s="9"/>
      <c r="R12" s="9"/>
      <c r="S12" s="9" t="n">
        <f aca="false">O12-P12-Q12-R12</f>
        <v>2</v>
      </c>
    </row>
    <row r="13" customFormat="false" ht="15" hidden="false" customHeight="false" outlineLevel="0" collapsed="false">
      <c r="A13" s="9" t="s">
        <v>19</v>
      </c>
      <c r="B13" s="4" t="s">
        <v>50</v>
      </c>
      <c r="C13" s="9" t="s">
        <v>36</v>
      </c>
      <c r="D13" s="10" t="s">
        <v>51</v>
      </c>
      <c r="E13" s="11" t="s">
        <v>38</v>
      </c>
      <c r="F13" s="14" t="n">
        <v>6886</v>
      </c>
      <c r="G13" s="13" t="n">
        <v>45406</v>
      </c>
      <c r="H13" s="5" t="s">
        <v>24</v>
      </c>
      <c r="I13" s="9" t="s">
        <v>39</v>
      </c>
      <c r="J13" s="9" t="s">
        <v>39</v>
      </c>
      <c r="K13" s="9" t="s">
        <v>39</v>
      </c>
      <c r="L13" s="9" t="s">
        <v>39</v>
      </c>
      <c r="M13" s="9" t="s">
        <v>39</v>
      </c>
      <c r="N13" s="9" t="s">
        <v>39</v>
      </c>
      <c r="O13" s="9" t="n">
        <v>4</v>
      </c>
      <c r="P13" s="9" t="n">
        <v>4</v>
      </c>
      <c r="Q13" s="9"/>
      <c r="R13" s="9"/>
      <c r="S13" s="9" t="n">
        <f aca="false">O13-P13-Q13-R13</f>
        <v>0</v>
      </c>
    </row>
    <row r="14" customFormat="false" ht="15" hidden="false" customHeight="false" outlineLevel="0" collapsed="false">
      <c r="A14" s="9" t="s">
        <v>19</v>
      </c>
      <c r="B14" s="4" t="s">
        <v>52</v>
      </c>
      <c r="C14" s="9" t="s">
        <v>53</v>
      </c>
      <c r="D14" s="6" t="s">
        <v>54</v>
      </c>
      <c r="E14" s="11" t="s">
        <v>38</v>
      </c>
      <c r="F14" s="14" t="n">
        <v>2247</v>
      </c>
      <c r="G14" s="15" t="n">
        <v>45391</v>
      </c>
      <c r="H14" s="5" t="s">
        <v>24</v>
      </c>
      <c r="I14" s="9" t="s">
        <v>25</v>
      </c>
      <c r="J14" s="9" t="s">
        <v>25</v>
      </c>
      <c r="K14" s="9" t="s">
        <v>25</v>
      </c>
      <c r="L14" s="9" t="s">
        <v>25</v>
      </c>
      <c r="M14" s="9" t="s">
        <v>25</v>
      </c>
      <c r="N14" s="9" t="n">
        <v>6</v>
      </c>
      <c r="O14" s="9" t="n">
        <v>0</v>
      </c>
      <c r="P14" s="9"/>
      <c r="Q14" s="9"/>
      <c r="R14" s="9"/>
      <c r="S14" s="9" t="n">
        <f aca="false">O14-P14-Q14-R14</f>
        <v>0</v>
      </c>
    </row>
    <row r="15" customFormat="false" ht="15" hidden="false" customHeight="false" outlineLevel="0" collapsed="false">
      <c r="A15" s="9" t="s">
        <v>19</v>
      </c>
      <c r="B15" s="4" t="s">
        <v>55</v>
      </c>
      <c r="C15" s="9" t="s">
        <v>53</v>
      </c>
      <c r="D15" s="6" t="s">
        <v>56</v>
      </c>
      <c r="E15" s="11" t="s">
        <v>57</v>
      </c>
      <c r="F15" s="14" t="n">
        <v>759.99</v>
      </c>
      <c r="G15" s="15" t="n">
        <v>45407</v>
      </c>
      <c r="H15" s="5" t="s">
        <v>24</v>
      </c>
      <c r="I15" s="9" t="n">
        <v>2</v>
      </c>
      <c r="J15" s="9" t="s">
        <v>25</v>
      </c>
      <c r="K15" s="9" t="s">
        <v>25</v>
      </c>
      <c r="L15" s="9" t="s">
        <v>25</v>
      </c>
      <c r="M15" s="9" t="s">
        <v>25</v>
      </c>
      <c r="N15" s="9" t="s">
        <v>25</v>
      </c>
      <c r="O15" s="9" t="n">
        <v>2</v>
      </c>
      <c r="P15" s="9"/>
      <c r="Q15" s="9" t="n">
        <v>2</v>
      </c>
      <c r="R15" s="9"/>
      <c r="S15" s="9" t="n">
        <f aca="false">O15-P15-Q15-R15</f>
        <v>0</v>
      </c>
    </row>
    <row r="16" customFormat="false" ht="15" hidden="false" customHeight="false" outlineLevel="0" collapsed="false">
      <c r="A16" s="9" t="s">
        <v>19</v>
      </c>
      <c r="B16" s="4" t="s">
        <v>58</v>
      </c>
      <c r="C16" s="16" t="s">
        <v>59</v>
      </c>
      <c r="D16" s="6" t="s">
        <v>60</v>
      </c>
      <c r="E16" s="11" t="s">
        <v>57</v>
      </c>
      <c r="F16" s="14" t="n">
        <v>4399.99</v>
      </c>
      <c r="G16" s="15" t="n">
        <v>45407</v>
      </c>
      <c r="H16" s="5" t="s">
        <v>24</v>
      </c>
      <c r="I16" s="9" t="n">
        <v>2</v>
      </c>
      <c r="J16" s="9" t="s">
        <v>25</v>
      </c>
      <c r="K16" s="9" t="s">
        <v>25</v>
      </c>
      <c r="L16" s="9" t="s">
        <v>25</v>
      </c>
      <c r="M16" s="9" t="s">
        <v>25</v>
      </c>
      <c r="N16" s="9" t="s">
        <v>25</v>
      </c>
      <c r="O16" s="9" t="n">
        <v>2</v>
      </c>
      <c r="P16" s="9"/>
      <c r="Q16" s="9" t="n">
        <v>2</v>
      </c>
      <c r="R16" s="9"/>
      <c r="S16" s="9" t="n">
        <f aca="false">O16-P16-Q16-R16</f>
        <v>0</v>
      </c>
    </row>
    <row r="17" customFormat="false" ht="15" hidden="false" customHeight="false" outlineLevel="0" collapsed="false">
      <c r="A17" s="9" t="s">
        <v>19</v>
      </c>
      <c r="B17" s="4" t="s">
        <v>61</v>
      </c>
      <c r="C17" s="9" t="s">
        <v>62</v>
      </c>
      <c r="D17" s="10" t="s">
        <v>63</v>
      </c>
      <c r="E17" s="17" t="s">
        <v>64</v>
      </c>
      <c r="F17" s="14" t="n">
        <v>700</v>
      </c>
      <c r="G17" s="17" t="s">
        <v>65</v>
      </c>
      <c r="H17" s="5" t="s">
        <v>66</v>
      </c>
      <c r="I17" s="9" t="s">
        <v>67</v>
      </c>
      <c r="J17" s="9" t="s">
        <v>67</v>
      </c>
      <c r="K17" s="9" t="s">
        <v>67</v>
      </c>
      <c r="L17" s="9" t="s">
        <v>25</v>
      </c>
      <c r="M17" s="9" t="s">
        <v>25</v>
      </c>
      <c r="N17" s="9" t="s">
        <v>25</v>
      </c>
      <c r="O17" s="9" t="n">
        <v>1</v>
      </c>
      <c r="P17" s="9"/>
      <c r="Q17" s="9"/>
      <c r="R17" s="9"/>
      <c r="S17" s="9" t="n">
        <f aca="false">O17-P17-Q17-R17</f>
        <v>1</v>
      </c>
    </row>
    <row r="18" customFormat="false" ht="15" hidden="false" customHeight="false" outlineLevel="0" collapsed="false">
      <c r="A18" s="9" t="s">
        <v>19</v>
      </c>
      <c r="B18" s="4" t="s">
        <v>68</v>
      </c>
      <c r="C18" s="9" t="s">
        <v>62</v>
      </c>
      <c r="D18" s="10" t="s">
        <v>69</v>
      </c>
      <c r="E18" s="17" t="s">
        <v>70</v>
      </c>
      <c r="F18" s="14" t="n">
        <v>550</v>
      </c>
      <c r="G18" s="15" t="n">
        <v>45411</v>
      </c>
      <c r="H18" s="5" t="s">
        <v>66</v>
      </c>
      <c r="I18" s="9" t="s">
        <v>67</v>
      </c>
      <c r="J18" s="9" t="s">
        <v>67</v>
      </c>
      <c r="K18" s="9" t="s">
        <v>67</v>
      </c>
      <c r="L18" s="9" t="s">
        <v>25</v>
      </c>
      <c r="M18" s="9" t="s">
        <v>25</v>
      </c>
      <c r="N18" s="9" t="s">
        <v>25</v>
      </c>
      <c r="O18" s="9" t="n">
        <v>0</v>
      </c>
      <c r="P18" s="9"/>
      <c r="Q18" s="9"/>
      <c r="R18" s="9"/>
      <c r="S18" s="9" t="n">
        <f aca="false">O18-P18-Q18-R18</f>
        <v>0</v>
      </c>
    </row>
    <row r="19" customFormat="false" ht="15" hidden="false" customHeight="false" outlineLevel="0" collapsed="false">
      <c r="A19" s="9" t="s">
        <v>19</v>
      </c>
      <c r="B19" s="4" t="s">
        <v>71</v>
      </c>
      <c r="C19" s="9" t="s">
        <v>62</v>
      </c>
      <c r="D19" s="10" t="s">
        <v>72</v>
      </c>
      <c r="E19" s="17" t="s">
        <v>64</v>
      </c>
      <c r="F19" s="14" t="n">
        <v>550</v>
      </c>
      <c r="G19" s="17" t="s">
        <v>65</v>
      </c>
      <c r="H19" s="5" t="s">
        <v>66</v>
      </c>
      <c r="I19" s="9" t="s">
        <v>67</v>
      </c>
      <c r="J19" s="9" t="s">
        <v>67</v>
      </c>
      <c r="K19" s="9" t="s">
        <v>67</v>
      </c>
      <c r="L19" s="9" t="s">
        <v>25</v>
      </c>
      <c r="M19" s="9" t="s">
        <v>25</v>
      </c>
      <c r="N19" s="9" t="s">
        <v>25</v>
      </c>
      <c r="O19" s="9" t="n">
        <v>1</v>
      </c>
      <c r="P19" s="9"/>
      <c r="Q19" s="9"/>
      <c r="R19" s="9"/>
      <c r="S19" s="9" t="n">
        <f aca="false">O19-P19-Q19-R19</f>
        <v>1</v>
      </c>
    </row>
    <row r="20" customFormat="false" ht="15" hidden="false" customHeight="false" outlineLevel="0" collapsed="false">
      <c r="A20" s="9" t="s">
        <v>19</v>
      </c>
      <c r="B20" s="4" t="s">
        <v>73</v>
      </c>
      <c r="C20" s="9" t="s">
        <v>62</v>
      </c>
      <c r="D20" s="6" t="s">
        <v>74</v>
      </c>
      <c r="E20" s="17" t="s">
        <v>64</v>
      </c>
      <c r="F20" s="14" t="n">
        <v>350</v>
      </c>
      <c r="G20" s="17" t="s">
        <v>65</v>
      </c>
      <c r="H20" s="5" t="s">
        <v>66</v>
      </c>
      <c r="I20" s="9" t="s">
        <v>67</v>
      </c>
      <c r="J20" s="9" t="s">
        <v>67</v>
      </c>
      <c r="K20" s="9" t="s">
        <v>25</v>
      </c>
      <c r="L20" s="9" t="s">
        <v>25</v>
      </c>
      <c r="M20" s="9" t="s">
        <v>25</v>
      </c>
      <c r="N20" s="9" t="s">
        <v>25</v>
      </c>
      <c r="O20" s="9" t="n">
        <v>1</v>
      </c>
      <c r="P20" s="9"/>
      <c r="Q20" s="9"/>
      <c r="R20" s="9"/>
      <c r="S20" s="9" t="n">
        <f aca="false">O20-P20-Q20-R20</f>
        <v>1</v>
      </c>
    </row>
    <row r="21" customFormat="false" ht="15" hidden="false" customHeight="false" outlineLevel="0" collapsed="false">
      <c r="A21" s="9" t="s">
        <v>19</v>
      </c>
      <c r="B21" s="4" t="s">
        <v>75</v>
      </c>
      <c r="C21" s="9" t="s">
        <v>76</v>
      </c>
      <c r="D21" s="10" t="s">
        <v>77</v>
      </c>
      <c r="E21" s="17" t="s">
        <v>70</v>
      </c>
      <c r="F21" s="14" t="n">
        <v>144.07</v>
      </c>
      <c r="G21" s="15" t="n">
        <v>45412</v>
      </c>
      <c r="H21" s="5" t="s">
        <v>24</v>
      </c>
      <c r="I21" s="9" t="s">
        <v>67</v>
      </c>
      <c r="J21" s="9" t="s">
        <v>67</v>
      </c>
      <c r="K21" s="9" t="s">
        <v>25</v>
      </c>
      <c r="L21" s="9" t="s">
        <v>25</v>
      </c>
      <c r="M21" s="9" t="s">
        <v>25</v>
      </c>
      <c r="N21" s="9" t="n">
        <v>1</v>
      </c>
      <c r="O21" s="9" t="n">
        <v>1</v>
      </c>
      <c r="P21" s="9"/>
      <c r="Q21" s="9"/>
      <c r="R21" s="9"/>
      <c r="S21" s="9" t="n">
        <f aca="false">O21-P21-Q21-R21</f>
        <v>1</v>
      </c>
    </row>
    <row r="22" customFormat="false" ht="15" hidden="false" customHeight="false" outlineLevel="0" collapsed="false">
      <c r="A22" s="9" t="s">
        <v>19</v>
      </c>
      <c r="B22" s="4" t="s">
        <v>78</v>
      </c>
      <c r="C22" s="9" t="s">
        <v>79</v>
      </c>
      <c r="D22" s="10" t="s">
        <v>80</v>
      </c>
      <c r="E22" s="17" t="s">
        <v>81</v>
      </c>
      <c r="F22" s="14" t="n">
        <v>7499</v>
      </c>
      <c r="G22" s="15" t="n">
        <v>45381</v>
      </c>
      <c r="H22" s="5" t="s">
        <v>24</v>
      </c>
      <c r="I22" s="9" t="s">
        <v>25</v>
      </c>
      <c r="J22" s="9" t="s">
        <v>25</v>
      </c>
      <c r="K22" s="9" t="s">
        <v>25</v>
      </c>
      <c r="L22" s="9" t="s">
        <v>25</v>
      </c>
      <c r="M22" s="9" t="n">
        <v>1</v>
      </c>
      <c r="N22" s="9" t="s">
        <v>25</v>
      </c>
      <c r="O22" s="9" t="n">
        <v>1</v>
      </c>
      <c r="P22" s="9"/>
      <c r="Q22" s="9"/>
      <c r="R22" s="9"/>
      <c r="S22" s="9" t="n">
        <f aca="false">O22-P22-Q22-R22</f>
        <v>1</v>
      </c>
    </row>
    <row r="23" customFormat="false" ht="15" hidden="false" customHeight="false" outlineLevel="0" collapsed="false">
      <c r="A23" s="9" t="s">
        <v>19</v>
      </c>
      <c r="B23" s="4" t="s">
        <v>82</v>
      </c>
      <c r="C23" s="9" t="s">
        <v>79</v>
      </c>
      <c r="D23" s="6" t="s">
        <v>83</v>
      </c>
      <c r="E23" s="17" t="s">
        <v>84</v>
      </c>
      <c r="F23" s="14" t="n">
        <v>450000</v>
      </c>
      <c r="G23" s="15" t="n">
        <v>45342</v>
      </c>
      <c r="H23" s="5" t="s">
        <v>24</v>
      </c>
      <c r="I23" s="9" t="s">
        <v>25</v>
      </c>
      <c r="J23" s="9" t="s">
        <v>25</v>
      </c>
      <c r="K23" s="9" t="n">
        <v>1</v>
      </c>
      <c r="L23" s="9" t="s">
        <v>25</v>
      </c>
      <c r="M23" s="9" t="s">
        <v>25</v>
      </c>
      <c r="N23" s="9" t="s">
        <v>25</v>
      </c>
      <c r="O23" s="9" t="n">
        <v>2</v>
      </c>
      <c r="P23" s="9"/>
      <c r="Q23" s="9"/>
      <c r="R23" s="9"/>
      <c r="S23" s="9" t="n">
        <f aca="false">O23-P23-Q23-R23</f>
        <v>2</v>
      </c>
    </row>
    <row r="24" customFormat="false" ht="15" hidden="false" customHeight="false" outlineLevel="0" collapsed="false">
      <c r="A24" s="9" t="s">
        <v>19</v>
      </c>
      <c r="B24" s="4" t="s">
        <v>85</v>
      </c>
      <c r="C24" s="9" t="s">
        <v>79</v>
      </c>
      <c r="D24" s="6" t="s">
        <v>86</v>
      </c>
      <c r="E24" s="17" t="s">
        <v>84</v>
      </c>
      <c r="F24" s="18" t="n">
        <v>210000</v>
      </c>
      <c r="G24" s="15" t="n">
        <v>45339</v>
      </c>
      <c r="H24" s="5" t="s">
        <v>24</v>
      </c>
      <c r="I24" s="9" t="s">
        <v>25</v>
      </c>
      <c r="J24" s="9" t="n">
        <v>1</v>
      </c>
      <c r="K24" s="9" t="s">
        <v>25</v>
      </c>
      <c r="L24" s="9" t="s">
        <v>25</v>
      </c>
      <c r="M24" s="9" t="s">
        <v>25</v>
      </c>
      <c r="N24" s="9" t="s">
        <v>25</v>
      </c>
      <c r="O24" s="9" t="n">
        <v>0</v>
      </c>
      <c r="P24" s="9"/>
      <c r="Q24" s="9"/>
      <c r="R24" s="9"/>
      <c r="S24" s="9" t="n">
        <f aca="false">O24-P24-Q24-R24</f>
        <v>0</v>
      </c>
    </row>
    <row r="25" customFormat="false" ht="15" hidden="false" customHeight="false" outlineLevel="0" collapsed="false">
      <c r="A25" s="9" t="s">
        <v>19</v>
      </c>
      <c r="B25" s="4" t="s">
        <v>87</v>
      </c>
      <c r="C25" s="9" t="s">
        <v>79</v>
      </c>
      <c r="D25" s="6" t="s">
        <v>88</v>
      </c>
      <c r="E25" s="17" t="s">
        <v>89</v>
      </c>
      <c r="F25" s="18" t="n">
        <v>1903381.94</v>
      </c>
      <c r="G25" s="15" t="n">
        <v>45308</v>
      </c>
      <c r="H25" s="5" t="s">
        <v>24</v>
      </c>
      <c r="I25" s="9" t="s">
        <v>25</v>
      </c>
      <c r="J25" s="9" t="s">
        <v>25</v>
      </c>
      <c r="K25" s="9" t="s">
        <v>25</v>
      </c>
      <c r="L25" s="9" t="n">
        <v>1</v>
      </c>
      <c r="M25" s="9" t="s">
        <v>25</v>
      </c>
      <c r="N25" s="9" t="s">
        <v>25</v>
      </c>
      <c r="O25" s="9" t="n">
        <v>2</v>
      </c>
      <c r="P25" s="9"/>
      <c r="Q25" s="9"/>
      <c r="R25" s="9"/>
      <c r="S25" s="9" t="n">
        <f aca="false">O25-P25-Q25-R25</f>
        <v>2</v>
      </c>
    </row>
    <row r="26" customFormat="false" ht="15" hidden="false" customHeight="false" outlineLevel="0" collapsed="false">
      <c r="A26" s="9" t="s">
        <v>19</v>
      </c>
      <c r="B26" s="4" t="s">
        <v>90</v>
      </c>
      <c r="C26" s="9" t="s">
        <v>91</v>
      </c>
      <c r="D26" s="6" t="s">
        <v>83</v>
      </c>
      <c r="E26" s="17" t="s">
        <v>84</v>
      </c>
      <c r="F26" s="18" t="n">
        <v>18765.24</v>
      </c>
      <c r="G26" s="15" t="n">
        <v>45308</v>
      </c>
      <c r="H26" s="5" t="s">
        <v>24</v>
      </c>
      <c r="I26" s="9" t="s">
        <v>25</v>
      </c>
      <c r="J26" s="9" t="s">
        <v>25</v>
      </c>
      <c r="K26" s="9" t="n">
        <v>2</v>
      </c>
      <c r="L26" s="9" t="s">
        <v>25</v>
      </c>
      <c r="M26" s="9" t="s">
        <v>25</v>
      </c>
      <c r="N26" s="9" t="s">
        <v>25</v>
      </c>
      <c r="O26" s="9" t="n">
        <v>4</v>
      </c>
      <c r="P26" s="9"/>
      <c r="Q26" s="9"/>
      <c r="R26" s="9"/>
      <c r="S26" s="9" t="n">
        <f aca="false">O26-P26-Q26-R26</f>
        <v>4</v>
      </c>
    </row>
    <row r="27" customFormat="false" ht="15" hidden="false" customHeight="false" outlineLevel="0" collapsed="false">
      <c r="A27" s="9" t="s">
        <v>19</v>
      </c>
      <c r="B27" s="4" t="s">
        <v>92</v>
      </c>
      <c r="C27" s="9" t="s">
        <v>93</v>
      </c>
      <c r="D27" s="6" t="s">
        <v>94</v>
      </c>
      <c r="E27" s="17" t="s">
        <v>23</v>
      </c>
      <c r="F27" s="18" t="n">
        <v>13750</v>
      </c>
      <c r="G27" s="15" t="n">
        <v>45339</v>
      </c>
      <c r="H27" s="5" t="s">
        <v>24</v>
      </c>
      <c r="I27" s="9" t="s">
        <v>25</v>
      </c>
      <c r="J27" s="9" t="s">
        <v>25</v>
      </c>
      <c r="K27" s="9" t="s">
        <v>25</v>
      </c>
      <c r="L27" s="9" t="n">
        <v>1</v>
      </c>
      <c r="M27" s="9" t="s">
        <v>25</v>
      </c>
      <c r="N27" s="9" t="s">
        <v>25</v>
      </c>
      <c r="O27" s="9" t="n">
        <v>2</v>
      </c>
      <c r="P27" s="9"/>
      <c r="Q27" s="9"/>
      <c r="R27" s="9"/>
      <c r="S27" s="9" t="n">
        <f aca="false">O27-P27-Q27-R27</f>
        <v>2</v>
      </c>
    </row>
    <row r="28" customFormat="false" ht="15" hidden="false" customHeight="false" outlineLevel="0" collapsed="false">
      <c r="A28" s="9" t="s">
        <v>19</v>
      </c>
      <c r="B28" s="4" t="s">
        <v>95</v>
      </c>
      <c r="C28" s="9" t="s">
        <v>96</v>
      </c>
      <c r="D28" s="6" t="s">
        <v>97</v>
      </c>
      <c r="E28" s="17" t="s">
        <v>98</v>
      </c>
      <c r="F28" s="14" t="n">
        <v>5000</v>
      </c>
      <c r="G28" s="17" t="s">
        <v>65</v>
      </c>
      <c r="H28" s="5" t="s">
        <v>24</v>
      </c>
      <c r="I28" s="9" t="s">
        <v>39</v>
      </c>
      <c r="J28" s="9" t="s">
        <v>39</v>
      </c>
      <c r="K28" s="9" t="s">
        <v>39</v>
      </c>
      <c r="L28" s="9" t="s">
        <v>39</v>
      </c>
      <c r="M28" s="9" t="s">
        <v>39</v>
      </c>
      <c r="N28" s="9" t="s">
        <v>39</v>
      </c>
      <c r="O28" s="9" t="n">
        <v>0</v>
      </c>
      <c r="P28" s="9"/>
      <c r="Q28" s="9"/>
      <c r="R28" s="9"/>
      <c r="S28" s="9" t="n">
        <f aca="false">O28-P28-Q28-R28</f>
        <v>0</v>
      </c>
    </row>
    <row r="29" customFormat="false" ht="15" hidden="false" customHeight="false" outlineLevel="0" collapsed="false">
      <c r="A29" s="9" t="s">
        <v>19</v>
      </c>
      <c r="B29" s="4" t="s">
        <v>99</v>
      </c>
      <c r="C29" s="9" t="s">
        <v>100</v>
      </c>
      <c r="D29" s="6" t="s">
        <v>101</v>
      </c>
      <c r="E29" s="17" t="s">
        <v>102</v>
      </c>
      <c r="F29" s="14" t="n">
        <v>10000</v>
      </c>
      <c r="G29" s="17" t="s">
        <v>65</v>
      </c>
      <c r="H29" s="5" t="s">
        <v>24</v>
      </c>
      <c r="I29" s="9" t="n">
        <v>1</v>
      </c>
      <c r="J29" s="9" t="s">
        <v>25</v>
      </c>
      <c r="K29" s="9" t="s">
        <v>25</v>
      </c>
      <c r="L29" s="9" t="s">
        <v>25</v>
      </c>
      <c r="M29" s="9" t="s">
        <v>25</v>
      </c>
      <c r="N29" s="9" t="n">
        <v>1</v>
      </c>
      <c r="O29" s="9" t="n">
        <v>0</v>
      </c>
      <c r="P29" s="9"/>
      <c r="Q29" s="9"/>
      <c r="R29" s="9"/>
      <c r="S29" s="9" t="n">
        <f aca="false">O29-P29-Q29-R29</f>
        <v>0</v>
      </c>
    </row>
    <row r="30" customFormat="false" ht="15" hidden="false" customHeight="false" outlineLevel="0" collapsed="false">
      <c r="A30" s="9" t="s">
        <v>19</v>
      </c>
      <c r="B30" s="4" t="s">
        <v>103</v>
      </c>
      <c r="C30" s="9" t="s">
        <v>100</v>
      </c>
      <c r="D30" s="19" t="s">
        <v>100</v>
      </c>
      <c r="E30" s="17" t="s">
        <v>102</v>
      </c>
      <c r="F30" s="14" t="n">
        <v>30000</v>
      </c>
      <c r="G30" s="17" t="s">
        <v>65</v>
      </c>
      <c r="H30" s="5" t="s">
        <v>24</v>
      </c>
      <c r="I30" s="9" t="s">
        <v>39</v>
      </c>
      <c r="J30" s="9" t="s">
        <v>39</v>
      </c>
      <c r="K30" s="9" t="s">
        <v>39</v>
      </c>
      <c r="L30" s="9" t="s">
        <v>39</v>
      </c>
      <c r="M30" s="9" t="s">
        <v>39</v>
      </c>
      <c r="N30" s="9" t="s">
        <v>39</v>
      </c>
      <c r="O30" s="9" t="n">
        <v>0</v>
      </c>
      <c r="P30" s="9"/>
      <c r="Q30" s="9"/>
      <c r="R30" s="9"/>
      <c r="S30" s="9" t="n">
        <f aca="false">O30-P30-Q30-R30</f>
        <v>0</v>
      </c>
    </row>
    <row r="31" customFormat="false" ht="15" hidden="false" customHeight="false" outlineLevel="0" collapsed="false">
      <c r="A31" s="9" t="s">
        <v>104</v>
      </c>
      <c r="B31" s="4" t="s">
        <v>105</v>
      </c>
      <c r="C31" s="9" t="s">
        <v>106</v>
      </c>
      <c r="D31" s="6" t="s">
        <v>107</v>
      </c>
      <c r="E31" s="17" t="s">
        <v>108</v>
      </c>
      <c r="F31" s="14" t="n">
        <v>30421.58</v>
      </c>
      <c r="G31" s="15" t="n">
        <v>45391</v>
      </c>
      <c r="H31" s="5" t="s">
        <v>24</v>
      </c>
      <c r="I31" s="9" t="s">
        <v>67</v>
      </c>
      <c r="J31" s="9" t="s">
        <v>25</v>
      </c>
      <c r="K31" s="9" t="s">
        <v>25</v>
      </c>
      <c r="L31" s="9" t="s">
        <v>25</v>
      </c>
      <c r="M31" s="9" t="s">
        <v>25</v>
      </c>
      <c r="N31" s="9" t="n">
        <v>1</v>
      </c>
      <c r="O31" s="9" t="n">
        <v>0</v>
      </c>
      <c r="P31" s="9"/>
      <c r="Q31" s="9"/>
      <c r="R31" s="9"/>
      <c r="S31" s="9" t="n">
        <f aca="false">O31-P31-Q31-R31</f>
        <v>0</v>
      </c>
    </row>
    <row r="32" customFormat="false" ht="15" hidden="false" customHeight="false" outlineLevel="0" collapsed="false">
      <c r="A32" s="9" t="s">
        <v>104</v>
      </c>
      <c r="B32" s="4" t="s">
        <v>109</v>
      </c>
      <c r="C32" s="9" t="s">
        <v>106</v>
      </c>
      <c r="D32" s="6" t="s">
        <v>110</v>
      </c>
      <c r="E32" s="17" t="s">
        <v>108</v>
      </c>
      <c r="F32" s="14" t="n">
        <v>48287.96</v>
      </c>
      <c r="G32" s="15" t="n">
        <v>45414</v>
      </c>
      <c r="H32" s="5" t="s">
        <v>24</v>
      </c>
      <c r="I32" s="9" t="s">
        <v>25</v>
      </c>
      <c r="J32" s="9" t="s">
        <v>25</v>
      </c>
      <c r="K32" s="9" t="s">
        <v>25</v>
      </c>
      <c r="L32" s="9" t="s">
        <v>25</v>
      </c>
      <c r="M32" s="9" t="s">
        <v>25</v>
      </c>
      <c r="N32" s="9" t="n">
        <v>1</v>
      </c>
      <c r="O32" s="9" t="n">
        <v>2</v>
      </c>
      <c r="P32" s="9" t="n">
        <v>2</v>
      </c>
      <c r="Q32" s="9"/>
      <c r="R32" s="9"/>
      <c r="S32" s="9" t="n">
        <f aca="false">O32-P32-Q32-R32</f>
        <v>0</v>
      </c>
    </row>
    <row r="33" customFormat="false" ht="15" hidden="false" customHeight="false" outlineLevel="0" collapsed="false">
      <c r="A33" s="9" t="s">
        <v>104</v>
      </c>
      <c r="B33" s="4" t="s">
        <v>111</v>
      </c>
      <c r="C33" s="9" t="s">
        <v>106</v>
      </c>
      <c r="D33" s="6" t="s">
        <v>112</v>
      </c>
      <c r="E33" s="17" t="s">
        <v>64</v>
      </c>
      <c r="F33" s="14" t="n">
        <v>2500</v>
      </c>
      <c r="G33" s="17" t="s">
        <v>65</v>
      </c>
      <c r="H33" s="5" t="s">
        <v>24</v>
      </c>
      <c r="I33" s="9" t="s">
        <v>67</v>
      </c>
      <c r="J33" s="9" t="s">
        <v>67</v>
      </c>
      <c r="K33" s="9" t="s">
        <v>25</v>
      </c>
      <c r="L33" s="9" t="s">
        <v>67</v>
      </c>
      <c r="M33" s="9" t="s">
        <v>25</v>
      </c>
      <c r="N33" s="9" t="s">
        <v>25</v>
      </c>
      <c r="O33" s="9" t="n">
        <v>2</v>
      </c>
      <c r="P33" s="9"/>
      <c r="Q33" s="9"/>
      <c r="R33" s="9"/>
      <c r="S33" s="9" t="n">
        <f aca="false">O33-P33-Q33-R33</f>
        <v>2</v>
      </c>
    </row>
    <row r="34" customFormat="false" ht="15" hidden="false" customHeight="false" outlineLevel="0" collapsed="false">
      <c r="A34" s="9" t="s">
        <v>104</v>
      </c>
      <c r="B34" s="4" t="s">
        <v>113</v>
      </c>
      <c r="C34" s="9" t="s">
        <v>106</v>
      </c>
      <c r="D34" s="10" t="s">
        <v>114</v>
      </c>
      <c r="E34" s="17" t="s">
        <v>108</v>
      </c>
      <c r="F34" s="14" t="n">
        <v>29404.42</v>
      </c>
      <c r="G34" s="15" t="n">
        <v>45414</v>
      </c>
      <c r="H34" s="5" t="s">
        <v>24</v>
      </c>
      <c r="I34" s="9" t="s">
        <v>67</v>
      </c>
      <c r="J34" s="9" t="s">
        <v>67</v>
      </c>
      <c r="K34" s="9" t="s">
        <v>25</v>
      </c>
      <c r="L34" s="9" t="s">
        <v>25</v>
      </c>
      <c r="M34" s="9" t="s">
        <v>25</v>
      </c>
      <c r="N34" s="9" t="s">
        <v>25</v>
      </c>
      <c r="O34" s="9" t="n">
        <v>1</v>
      </c>
      <c r="P34" s="9"/>
      <c r="Q34" s="9"/>
      <c r="R34" s="9"/>
      <c r="S34" s="9" t="n">
        <f aca="false">O34-P34-Q34-R34</f>
        <v>1</v>
      </c>
    </row>
    <row r="35" customFormat="false" ht="15" hidden="false" customHeight="false" outlineLevel="0" collapsed="false">
      <c r="A35" s="9" t="s">
        <v>104</v>
      </c>
      <c r="B35" s="4" t="s">
        <v>115</v>
      </c>
      <c r="C35" s="9" t="s">
        <v>106</v>
      </c>
      <c r="D35" s="6" t="s">
        <v>116</v>
      </c>
      <c r="E35" s="17" t="s">
        <v>117</v>
      </c>
      <c r="F35" s="14" t="n">
        <v>89999</v>
      </c>
      <c r="G35" s="15" t="n">
        <v>45414</v>
      </c>
      <c r="H35" s="5" t="s">
        <v>24</v>
      </c>
      <c r="I35" s="9" t="s">
        <v>67</v>
      </c>
      <c r="J35" s="9" t="s">
        <v>67</v>
      </c>
      <c r="K35" s="9" t="s">
        <v>67</v>
      </c>
      <c r="L35" s="9" t="s">
        <v>67</v>
      </c>
      <c r="M35" s="9" t="s">
        <v>25</v>
      </c>
      <c r="N35" s="9" t="s">
        <v>25</v>
      </c>
      <c r="O35" s="9" t="n">
        <v>3</v>
      </c>
      <c r="P35" s="9"/>
      <c r="Q35" s="9"/>
      <c r="R35" s="9"/>
      <c r="S35" s="9" t="n">
        <f aca="false">O35-P35-Q35-R35</f>
        <v>3</v>
      </c>
    </row>
    <row r="36" customFormat="false" ht="15" hidden="false" customHeight="false" outlineLevel="0" collapsed="false">
      <c r="A36" s="9" t="s">
        <v>104</v>
      </c>
      <c r="B36" s="4" t="s">
        <v>118</v>
      </c>
      <c r="C36" s="9" t="s">
        <v>106</v>
      </c>
      <c r="D36" s="6" t="s">
        <v>119</v>
      </c>
      <c r="E36" s="17" t="s">
        <v>117</v>
      </c>
      <c r="F36" s="14" t="n">
        <v>138999</v>
      </c>
      <c r="G36" s="15" t="n">
        <v>45414</v>
      </c>
      <c r="H36" s="5" t="s">
        <v>24</v>
      </c>
      <c r="I36" s="9" t="s">
        <v>67</v>
      </c>
      <c r="J36" s="9" t="s">
        <v>67</v>
      </c>
      <c r="K36" s="9" t="s">
        <v>67</v>
      </c>
      <c r="L36" s="9" t="s">
        <v>67</v>
      </c>
      <c r="M36" s="9" t="s">
        <v>25</v>
      </c>
      <c r="N36" s="9" t="s">
        <v>25</v>
      </c>
      <c r="O36" s="9" t="n">
        <v>0</v>
      </c>
      <c r="P36" s="9"/>
      <c r="Q36" s="9"/>
      <c r="R36" s="9"/>
      <c r="S36" s="9" t="n">
        <f aca="false">O36-P36-Q36-R36</f>
        <v>0</v>
      </c>
    </row>
    <row r="37" customFormat="false" ht="15" hidden="false" customHeight="false" outlineLevel="0" collapsed="false">
      <c r="A37" s="9" t="s">
        <v>104</v>
      </c>
      <c r="B37" s="4" t="s">
        <v>120</v>
      </c>
      <c r="C37" s="9" t="s">
        <v>106</v>
      </c>
      <c r="D37" s="6" t="s">
        <v>121</v>
      </c>
      <c r="E37" s="17" t="s">
        <v>117</v>
      </c>
      <c r="F37" s="14" t="n">
        <v>79999</v>
      </c>
      <c r="G37" s="15" t="n">
        <v>45414</v>
      </c>
      <c r="H37" s="5" t="s">
        <v>24</v>
      </c>
      <c r="I37" s="9" t="s">
        <v>67</v>
      </c>
      <c r="J37" s="9" t="s">
        <v>67</v>
      </c>
      <c r="K37" s="9" t="s">
        <v>67</v>
      </c>
      <c r="L37" s="9" t="s">
        <v>67</v>
      </c>
      <c r="M37" s="9" t="s">
        <v>25</v>
      </c>
      <c r="N37" s="9" t="s">
        <v>25</v>
      </c>
      <c r="O37" s="9" t="n">
        <v>1</v>
      </c>
      <c r="P37" s="9"/>
      <c r="Q37" s="9"/>
      <c r="R37" s="9"/>
      <c r="S37" s="9" t="n">
        <f aca="false">O37-P37-Q37-R37</f>
        <v>1</v>
      </c>
    </row>
    <row r="38" customFormat="false" ht="15" hidden="false" customHeight="false" outlineLevel="0" collapsed="false">
      <c r="A38" s="9" t="s">
        <v>104</v>
      </c>
      <c r="B38" s="4" t="s">
        <v>122</v>
      </c>
      <c r="C38" s="9" t="s">
        <v>106</v>
      </c>
      <c r="D38" s="6" t="s">
        <v>123</v>
      </c>
      <c r="E38" s="17" t="s">
        <v>117</v>
      </c>
      <c r="F38" s="14" t="n">
        <v>23999</v>
      </c>
      <c r="G38" s="15" t="n">
        <v>45414</v>
      </c>
      <c r="H38" s="5" t="s">
        <v>24</v>
      </c>
      <c r="I38" s="9" t="s">
        <v>67</v>
      </c>
      <c r="J38" s="9" t="s">
        <v>67</v>
      </c>
      <c r="K38" s="9" t="s">
        <v>67</v>
      </c>
      <c r="L38" s="9" t="s">
        <v>67</v>
      </c>
      <c r="M38" s="9" t="s">
        <v>25</v>
      </c>
      <c r="N38" s="9" t="n">
        <v>1</v>
      </c>
      <c r="O38" s="9" t="n">
        <v>0</v>
      </c>
      <c r="P38" s="9"/>
      <c r="Q38" s="9"/>
      <c r="R38" s="9"/>
      <c r="S38" s="9" t="n">
        <f aca="false">O38-P38-Q38-R38</f>
        <v>0</v>
      </c>
    </row>
    <row r="39" customFormat="false" ht="15" hidden="false" customHeight="false" outlineLevel="0" collapsed="false">
      <c r="A39" s="9" t="s">
        <v>104</v>
      </c>
      <c r="B39" s="4" t="s">
        <v>124</v>
      </c>
      <c r="C39" s="9" t="s">
        <v>125</v>
      </c>
      <c r="D39" s="6" t="s">
        <v>126</v>
      </c>
      <c r="E39" s="17" t="s">
        <v>127</v>
      </c>
      <c r="F39" s="14" t="n">
        <v>209632.9</v>
      </c>
      <c r="G39" s="15" t="n">
        <v>45381</v>
      </c>
      <c r="H39" s="5" t="s">
        <v>24</v>
      </c>
      <c r="I39" s="9" t="s">
        <v>67</v>
      </c>
      <c r="J39" s="9" t="s">
        <v>67</v>
      </c>
      <c r="K39" s="9" t="s">
        <v>25</v>
      </c>
      <c r="L39" s="9" t="n">
        <v>3</v>
      </c>
      <c r="M39" s="9" t="s">
        <v>25</v>
      </c>
      <c r="N39" s="9" t="s">
        <v>25</v>
      </c>
      <c r="O39" s="9" t="n">
        <v>6</v>
      </c>
      <c r="P39" s="9"/>
      <c r="Q39" s="9"/>
      <c r="R39" s="9"/>
      <c r="S39" s="9" t="n">
        <f aca="false">O39-P39-Q39-R39</f>
        <v>6</v>
      </c>
    </row>
    <row r="40" customFormat="false" ht="15" hidden="false" customHeight="false" outlineLevel="0" collapsed="false">
      <c r="A40" s="9" t="s">
        <v>104</v>
      </c>
      <c r="B40" s="4" t="s">
        <v>128</v>
      </c>
      <c r="C40" s="9" t="s">
        <v>125</v>
      </c>
      <c r="D40" s="6" t="s">
        <v>129</v>
      </c>
      <c r="E40" s="17" t="s">
        <v>127</v>
      </c>
      <c r="F40" s="14" t="n">
        <v>41134.46</v>
      </c>
      <c r="G40" s="15" t="n">
        <v>45381</v>
      </c>
      <c r="H40" s="5" t="s">
        <v>24</v>
      </c>
      <c r="I40" s="9" t="s">
        <v>67</v>
      </c>
      <c r="J40" s="9" t="s">
        <v>67</v>
      </c>
      <c r="K40" s="9" t="s">
        <v>25</v>
      </c>
      <c r="L40" s="9" t="n">
        <v>3</v>
      </c>
      <c r="M40" s="9" t="s">
        <v>25</v>
      </c>
      <c r="N40" s="9" t="s">
        <v>25</v>
      </c>
      <c r="O40" s="9" t="n">
        <v>6</v>
      </c>
      <c r="P40" s="9"/>
      <c r="Q40" s="9"/>
      <c r="R40" s="9"/>
      <c r="S40" s="9" t="n">
        <f aca="false">O40-P40-Q40-R40</f>
        <v>6</v>
      </c>
    </row>
    <row r="41" customFormat="false" ht="15" hidden="false" customHeight="false" outlineLevel="0" collapsed="false">
      <c r="A41" s="9" t="s">
        <v>104</v>
      </c>
      <c r="B41" s="4" t="s">
        <v>130</v>
      </c>
      <c r="C41" s="9" t="s">
        <v>106</v>
      </c>
      <c r="D41" s="20" t="s">
        <v>131</v>
      </c>
      <c r="E41" s="17" t="s">
        <v>132</v>
      </c>
      <c r="F41" s="14" t="n">
        <v>85000</v>
      </c>
      <c r="G41" s="15" t="n">
        <v>45414</v>
      </c>
      <c r="H41" s="5" t="s">
        <v>24</v>
      </c>
      <c r="I41" s="9" t="s">
        <v>67</v>
      </c>
      <c r="J41" s="9" t="s">
        <v>67</v>
      </c>
      <c r="K41" s="9" t="s">
        <v>67</v>
      </c>
      <c r="L41" s="9" t="s">
        <v>67</v>
      </c>
      <c r="M41" s="9" t="s">
        <v>25</v>
      </c>
      <c r="N41" s="9" t="s">
        <v>25</v>
      </c>
      <c r="O41" s="9" t="n">
        <v>1</v>
      </c>
      <c r="P41" s="9"/>
      <c r="Q41" s="9"/>
      <c r="R41" s="9"/>
      <c r="S41" s="9" t="n">
        <f aca="false">O41-P41-Q41-R41</f>
        <v>1</v>
      </c>
    </row>
    <row r="42" customFormat="false" ht="15" hidden="false" customHeight="false" outlineLevel="0" collapsed="false">
      <c r="A42" s="9" t="s">
        <v>104</v>
      </c>
      <c r="B42" s="4" t="s">
        <v>133</v>
      </c>
      <c r="C42" s="9" t="s">
        <v>106</v>
      </c>
      <c r="D42" s="10" t="s">
        <v>134</v>
      </c>
      <c r="E42" s="17" t="s">
        <v>117</v>
      </c>
      <c r="F42" s="14" t="n">
        <v>15900</v>
      </c>
      <c r="G42" s="15" t="n">
        <v>45414</v>
      </c>
      <c r="H42" s="5" t="s">
        <v>24</v>
      </c>
      <c r="I42" s="9" t="s">
        <v>67</v>
      </c>
      <c r="J42" s="9" t="s">
        <v>67</v>
      </c>
      <c r="K42" s="9" t="s">
        <v>25</v>
      </c>
      <c r="L42" s="9" t="s">
        <v>67</v>
      </c>
      <c r="M42" s="9" t="n">
        <v>1</v>
      </c>
      <c r="N42" s="9" t="s">
        <v>25</v>
      </c>
      <c r="O42" s="9" t="n">
        <v>1</v>
      </c>
      <c r="P42" s="9"/>
      <c r="Q42" s="9"/>
      <c r="R42" s="9"/>
      <c r="S42" s="9" t="n">
        <f aca="false">O42-P42-Q42-R42</f>
        <v>1</v>
      </c>
    </row>
    <row r="43" customFormat="false" ht="15" hidden="false" customHeight="false" outlineLevel="0" collapsed="false">
      <c r="A43" s="9" t="s">
        <v>135</v>
      </c>
      <c r="B43" s="4" t="s">
        <v>136</v>
      </c>
      <c r="C43" s="9" t="s">
        <v>137</v>
      </c>
      <c r="D43" s="6" t="s">
        <v>138</v>
      </c>
      <c r="E43" s="17" t="s">
        <v>117</v>
      </c>
      <c r="F43" s="14" t="n">
        <v>3499</v>
      </c>
      <c r="G43" s="15" t="n">
        <v>45363</v>
      </c>
      <c r="H43" s="5" t="s">
        <v>139</v>
      </c>
      <c r="I43" s="9" t="n">
        <v>3</v>
      </c>
      <c r="J43" s="9" t="s">
        <v>25</v>
      </c>
      <c r="K43" s="9" t="s">
        <v>25</v>
      </c>
      <c r="L43" s="9" t="s">
        <v>25</v>
      </c>
      <c r="M43" s="9" t="s">
        <v>25</v>
      </c>
      <c r="N43" s="9" t="s">
        <v>25</v>
      </c>
      <c r="O43" s="9" t="n">
        <v>2</v>
      </c>
      <c r="P43" s="9"/>
      <c r="Q43" s="9"/>
      <c r="R43" s="9"/>
      <c r="S43" s="9" t="n">
        <f aca="false">O43-P43-Q43-R43</f>
        <v>2</v>
      </c>
    </row>
    <row r="44" customFormat="false" ht="15" hidden="false" customHeight="false" outlineLevel="0" collapsed="false">
      <c r="A44" s="9" t="s">
        <v>135</v>
      </c>
      <c r="B44" s="4" t="s">
        <v>140</v>
      </c>
      <c r="C44" s="9" t="s">
        <v>137</v>
      </c>
      <c r="D44" s="6" t="s">
        <v>141</v>
      </c>
      <c r="E44" s="17" t="s">
        <v>70</v>
      </c>
      <c r="F44" s="14" t="n">
        <v>10305</v>
      </c>
      <c r="G44" s="15" t="n">
        <v>45411</v>
      </c>
      <c r="H44" s="5" t="s">
        <v>139</v>
      </c>
      <c r="I44" s="9" t="s">
        <v>25</v>
      </c>
      <c r="J44" s="9" t="n">
        <v>3</v>
      </c>
      <c r="K44" s="9" t="s">
        <v>25</v>
      </c>
      <c r="L44" s="9" t="s">
        <v>25</v>
      </c>
      <c r="M44" s="9" t="s">
        <v>25</v>
      </c>
      <c r="N44" s="9" t="s">
        <v>25</v>
      </c>
      <c r="O44" s="9" t="n">
        <v>6</v>
      </c>
      <c r="P44" s="9"/>
      <c r="Q44" s="9"/>
      <c r="R44" s="9"/>
      <c r="S44" s="9" t="n">
        <f aca="false">O44-P44-Q44-R44</f>
        <v>6</v>
      </c>
    </row>
    <row r="45" customFormat="false" ht="15" hidden="false" customHeight="false" outlineLevel="0" collapsed="false">
      <c r="A45" s="9" t="s">
        <v>135</v>
      </c>
      <c r="B45" s="4" t="s">
        <v>142</v>
      </c>
      <c r="C45" s="9" t="s">
        <v>137</v>
      </c>
      <c r="D45" s="10" t="s">
        <v>143</v>
      </c>
      <c r="E45" s="17" t="s">
        <v>144</v>
      </c>
      <c r="F45" s="14" t="n">
        <v>1299</v>
      </c>
      <c r="G45" s="15" t="n">
        <v>45330</v>
      </c>
      <c r="H45" s="5" t="s">
        <v>139</v>
      </c>
      <c r="I45" s="9" t="s">
        <v>25</v>
      </c>
      <c r="J45" s="9" t="s">
        <v>25</v>
      </c>
      <c r="K45" s="9" t="s">
        <v>25</v>
      </c>
      <c r="L45" s="9" t="s">
        <v>25</v>
      </c>
      <c r="M45" s="9" t="n">
        <v>1</v>
      </c>
      <c r="N45" s="9" t="s">
        <v>25</v>
      </c>
      <c r="O45" s="9" t="n">
        <v>1</v>
      </c>
      <c r="P45" s="9"/>
      <c r="Q45" s="9"/>
      <c r="R45" s="9"/>
      <c r="S45" s="9" t="n">
        <f aca="false">O45-P45-Q45-R45</f>
        <v>1</v>
      </c>
    </row>
    <row r="46" customFormat="false" ht="15" hidden="false" customHeight="false" outlineLevel="0" collapsed="false">
      <c r="A46" s="9" t="s">
        <v>135</v>
      </c>
      <c r="B46" s="4" t="s">
        <v>145</v>
      </c>
      <c r="C46" s="9" t="s">
        <v>137</v>
      </c>
      <c r="D46" s="10" t="s">
        <v>146</v>
      </c>
      <c r="E46" s="17" t="s">
        <v>144</v>
      </c>
      <c r="F46" s="14" t="n">
        <v>1999</v>
      </c>
      <c r="G46" s="15" t="n">
        <v>45330</v>
      </c>
      <c r="H46" s="5" t="s">
        <v>139</v>
      </c>
      <c r="I46" s="9" t="s">
        <v>25</v>
      </c>
      <c r="J46" s="9" t="s">
        <v>25</v>
      </c>
      <c r="K46" s="9" t="s">
        <v>25</v>
      </c>
      <c r="L46" s="9" t="s">
        <v>25</v>
      </c>
      <c r="M46" s="9" t="n">
        <v>1</v>
      </c>
      <c r="N46" s="9" t="s">
        <v>25</v>
      </c>
      <c r="O46" s="9" t="n">
        <v>1</v>
      </c>
      <c r="P46" s="9"/>
      <c r="Q46" s="9"/>
      <c r="R46" s="9"/>
      <c r="S46" s="9" t="n">
        <f aca="false">O46-P46-Q46-R46</f>
        <v>1</v>
      </c>
    </row>
    <row r="47" customFormat="false" ht="15" hidden="false" customHeight="false" outlineLevel="0" collapsed="false">
      <c r="A47" s="9" t="s">
        <v>135</v>
      </c>
      <c r="B47" s="4" t="s">
        <v>147</v>
      </c>
      <c r="C47" s="9" t="s">
        <v>137</v>
      </c>
      <c r="D47" s="20" t="s">
        <v>148</v>
      </c>
      <c r="E47" s="17" t="s">
        <v>70</v>
      </c>
      <c r="F47" s="14" t="n">
        <v>8394</v>
      </c>
      <c r="G47" s="15" t="n">
        <v>45330</v>
      </c>
      <c r="H47" s="5" t="s">
        <v>139</v>
      </c>
      <c r="I47" s="9" t="s">
        <v>25</v>
      </c>
      <c r="J47" s="9" t="n">
        <v>3</v>
      </c>
      <c r="K47" s="9" t="s">
        <v>25</v>
      </c>
      <c r="L47" s="9" t="s">
        <v>25</v>
      </c>
      <c r="M47" s="9" t="s">
        <v>25</v>
      </c>
      <c r="N47" s="9" t="s">
        <v>25</v>
      </c>
      <c r="O47" s="9" t="n">
        <v>2</v>
      </c>
      <c r="P47" s="9"/>
      <c r="Q47" s="9"/>
      <c r="R47" s="9"/>
      <c r="S47" s="9" t="n">
        <f aca="false">O47-P47-Q47-R47</f>
        <v>2</v>
      </c>
    </row>
    <row r="48" customFormat="false" ht="15" hidden="false" customHeight="false" outlineLevel="0" collapsed="false">
      <c r="A48" s="9" t="s">
        <v>135</v>
      </c>
      <c r="B48" s="4" t="s">
        <v>149</v>
      </c>
      <c r="C48" s="9" t="s">
        <v>137</v>
      </c>
      <c r="D48" s="20" t="s">
        <v>150</v>
      </c>
      <c r="E48" s="17" t="s">
        <v>84</v>
      </c>
      <c r="F48" s="14" t="n">
        <v>68700</v>
      </c>
      <c r="G48" s="15" t="n">
        <v>45330</v>
      </c>
      <c r="H48" s="5" t="s">
        <v>139</v>
      </c>
      <c r="I48" s="9" t="s">
        <v>25</v>
      </c>
      <c r="J48" s="9" t="s">
        <v>25</v>
      </c>
      <c r="K48" s="9" t="n">
        <v>3</v>
      </c>
      <c r="L48" s="9" t="s">
        <v>25</v>
      </c>
      <c r="M48" s="9" t="s">
        <v>25</v>
      </c>
      <c r="N48" s="9" t="s">
        <v>25</v>
      </c>
      <c r="O48" s="9" t="n">
        <v>10</v>
      </c>
      <c r="P48" s="9"/>
      <c r="Q48" s="9"/>
      <c r="R48" s="9"/>
      <c r="S48" s="9" t="n">
        <f aca="false">O48-P48-Q48-R48</f>
        <v>10</v>
      </c>
    </row>
    <row r="49" customFormat="false" ht="15" hidden="false" customHeight="false" outlineLevel="0" collapsed="false">
      <c r="A49" s="4" t="s">
        <v>135</v>
      </c>
      <c r="B49" s="4" t="s">
        <v>151</v>
      </c>
      <c r="C49" s="5" t="s">
        <v>152</v>
      </c>
      <c r="D49" s="6" t="s">
        <v>153</v>
      </c>
      <c r="E49" s="5" t="s">
        <v>154</v>
      </c>
      <c r="F49" s="7" t="n">
        <v>48500</v>
      </c>
      <c r="G49" s="8" t="n">
        <v>45361</v>
      </c>
      <c r="H49" s="5" t="s">
        <v>24</v>
      </c>
      <c r="I49" s="4" t="s">
        <v>25</v>
      </c>
      <c r="J49" s="4" t="s">
        <v>25</v>
      </c>
      <c r="K49" s="4" t="s">
        <v>25</v>
      </c>
      <c r="L49" s="4" t="n">
        <v>2</v>
      </c>
      <c r="M49" s="4" t="s">
        <v>25</v>
      </c>
      <c r="N49" s="4" t="s">
        <v>25</v>
      </c>
      <c r="O49" s="9" t="n">
        <v>4</v>
      </c>
      <c r="P49" s="9"/>
      <c r="Q49" s="9"/>
      <c r="R49" s="9"/>
      <c r="S49" s="9" t="n">
        <f aca="false">O49-P49-Q49-R49</f>
        <v>4</v>
      </c>
    </row>
    <row r="50" customFormat="false" ht="15" hidden="false" customHeight="false" outlineLevel="0" collapsed="false">
      <c r="A50" s="4" t="s">
        <v>135</v>
      </c>
      <c r="B50" s="4" t="s">
        <v>155</v>
      </c>
      <c r="C50" s="5" t="s">
        <v>152</v>
      </c>
      <c r="D50" s="6" t="s">
        <v>156</v>
      </c>
      <c r="E50" s="5" t="s">
        <v>154</v>
      </c>
      <c r="F50" s="7" t="n">
        <v>29500</v>
      </c>
      <c r="G50" s="8" t="n">
        <v>45635</v>
      </c>
      <c r="H50" s="5" t="s">
        <v>24</v>
      </c>
      <c r="I50" s="4" t="s">
        <v>67</v>
      </c>
      <c r="J50" s="4" t="n">
        <v>1</v>
      </c>
      <c r="K50" s="4" t="n">
        <v>4</v>
      </c>
      <c r="L50" s="4" t="s">
        <v>25</v>
      </c>
      <c r="M50" s="4" t="s">
        <v>25</v>
      </c>
      <c r="N50" s="4" t="s">
        <v>25</v>
      </c>
      <c r="O50" s="9" t="n">
        <v>3</v>
      </c>
      <c r="P50" s="9"/>
      <c r="Q50" s="9"/>
      <c r="R50" s="9" t="n">
        <v>2</v>
      </c>
      <c r="S50" s="9" t="n">
        <f aca="false">O50-P50-Q50-R50</f>
        <v>1</v>
      </c>
    </row>
    <row r="51" customFormat="false" ht="15" hidden="false" customHeight="false" outlineLevel="0" collapsed="false">
      <c r="A51" s="4" t="s">
        <v>135</v>
      </c>
      <c r="B51" s="4" t="s">
        <v>157</v>
      </c>
      <c r="C51" s="5" t="s">
        <v>152</v>
      </c>
      <c r="D51" s="6" t="s">
        <v>158</v>
      </c>
      <c r="E51" s="5" t="s">
        <v>154</v>
      </c>
      <c r="F51" s="7" t="n">
        <v>22500</v>
      </c>
      <c r="G51" s="8" t="n">
        <v>45311</v>
      </c>
      <c r="H51" s="5" t="s">
        <v>24</v>
      </c>
      <c r="I51" s="4" t="s">
        <v>25</v>
      </c>
      <c r="J51" s="4" t="s">
        <v>25</v>
      </c>
      <c r="K51" s="4" t="s">
        <v>67</v>
      </c>
      <c r="L51" s="4" t="s">
        <v>25</v>
      </c>
      <c r="M51" s="4" t="s">
        <v>25</v>
      </c>
      <c r="N51" s="4" t="s">
        <v>25</v>
      </c>
      <c r="O51" s="9" t="n">
        <v>4</v>
      </c>
      <c r="P51" s="9"/>
      <c r="Q51" s="9"/>
      <c r="R51" s="9"/>
      <c r="S51" s="9" t="n">
        <f aca="false">O51-P51-Q51-R51</f>
        <v>4</v>
      </c>
    </row>
    <row r="52" customFormat="false" ht="15" hidden="false" customHeight="false" outlineLevel="0" collapsed="false">
      <c r="A52" s="4" t="s">
        <v>135</v>
      </c>
      <c r="B52" s="4" t="s">
        <v>159</v>
      </c>
      <c r="C52" s="5" t="s">
        <v>152</v>
      </c>
      <c r="D52" s="6" t="s">
        <v>160</v>
      </c>
      <c r="E52" s="5" t="s">
        <v>108</v>
      </c>
      <c r="F52" s="7" t="n">
        <v>16500</v>
      </c>
      <c r="G52" s="8" t="n">
        <v>45391</v>
      </c>
      <c r="H52" s="5" t="s">
        <v>24</v>
      </c>
      <c r="I52" s="4" t="s">
        <v>25</v>
      </c>
      <c r="J52" s="4" t="s">
        <v>25</v>
      </c>
      <c r="K52" s="4" t="s">
        <v>25</v>
      </c>
      <c r="L52" s="4" t="s">
        <v>25</v>
      </c>
      <c r="M52" s="4" t="s">
        <v>25</v>
      </c>
      <c r="N52" s="4" t="n">
        <v>2</v>
      </c>
      <c r="O52" s="9" t="n">
        <v>7</v>
      </c>
      <c r="P52" s="9" t="n">
        <v>4</v>
      </c>
      <c r="Q52" s="9"/>
      <c r="R52" s="9"/>
      <c r="S52" s="9" t="n">
        <f aca="false">O52-P52-Q52-R52</f>
        <v>3</v>
      </c>
    </row>
    <row r="53" customFormat="false" ht="15" hidden="false" customHeight="false" outlineLevel="0" collapsed="false">
      <c r="A53" s="4" t="s">
        <v>135</v>
      </c>
      <c r="B53" s="4" t="s">
        <v>161</v>
      </c>
      <c r="C53" s="5" t="s">
        <v>152</v>
      </c>
      <c r="D53" s="6" t="s">
        <v>162</v>
      </c>
      <c r="E53" s="5" t="s">
        <v>154</v>
      </c>
      <c r="F53" s="12" t="n">
        <v>15000</v>
      </c>
      <c r="G53" s="8" t="n">
        <v>45311</v>
      </c>
      <c r="H53" s="5" t="s">
        <v>24</v>
      </c>
      <c r="I53" s="4" t="s">
        <v>67</v>
      </c>
      <c r="J53" s="4" t="s">
        <v>25</v>
      </c>
      <c r="K53" s="4" t="s">
        <v>25</v>
      </c>
      <c r="L53" s="4" t="s">
        <v>25</v>
      </c>
      <c r="M53" s="4" t="s">
        <v>25</v>
      </c>
      <c r="N53" s="4" t="s">
        <v>25</v>
      </c>
      <c r="O53" s="9" t="n">
        <v>1</v>
      </c>
      <c r="P53" s="9"/>
      <c r="Q53" s="9"/>
      <c r="R53" s="9"/>
      <c r="S53" s="9" t="n">
        <f aca="false">O53-P53-Q53-R53</f>
        <v>1</v>
      </c>
    </row>
    <row r="54" customFormat="false" ht="15" hidden="false" customHeight="false" outlineLevel="0" collapsed="false">
      <c r="A54" s="4" t="s">
        <v>135</v>
      </c>
      <c r="B54" s="4" t="s">
        <v>163</v>
      </c>
      <c r="C54" s="5" t="s">
        <v>152</v>
      </c>
      <c r="D54" s="6" t="s">
        <v>164</v>
      </c>
      <c r="E54" s="5" t="s">
        <v>154</v>
      </c>
      <c r="F54" s="7" t="n">
        <v>13500</v>
      </c>
      <c r="G54" s="8" t="n">
        <v>45330</v>
      </c>
      <c r="H54" s="5" t="s">
        <v>24</v>
      </c>
      <c r="I54" s="4" t="n">
        <v>2</v>
      </c>
      <c r="J54" s="4" t="s">
        <v>25</v>
      </c>
      <c r="K54" s="4" t="s">
        <v>25</v>
      </c>
      <c r="L54" s="4" t="s">
        <v>25</v>
      </c>
      <c r="M54" s="4" t="s">
        <v>25</v>
      </c>
      <c r="N54" s="4" t="s">
        <v>25</v>
      </c>
      <c r="O54" s="9" t="n">
        <v>0</v>
      </c>
      <c r="P54" s="9"/>
      <c r="Q54" s="9"/>
      <c r="R54" s="9"/>
      <c r="S54" s="9" t="n">
        <f aca="false">O54-P54-Q54-R54</f>
        <v>0</v>
      </c>
    </row>
    <row r="55" customFormat="false" ht="15" hidden="false" customHeight="false" outlineLevel="0" collapsed="false">
      <c r="A55" s="4" t="s">
        <v>135</v>
      </c>
      <c r="B55" s="4" t="s">
        <v>165</v>
      </c>
      <c r="C55" s="5" t="s">
        <v>152</v>
      </c>
      <c r="D55" s="10" t="s">
        <v>166</v>
      </c>
      <c r="E55" s="5" t="s">
        <v>154</v>
      </c>
      <c r="F55" s="7" t="n">
        <v>3000</v>
      </c>
      <c r="G55" s="8" t="n">
        <v>45330</v>
      </c>
      <c r="H55" s="5" t="s">
        <v>24</v>
      </c>
      <c r="I55" s="4" t="s">
        <v>25</v>
      </c>
      <c r="J55" s="4" t="s">
        <v>25</v>
      </c>
      <c r="K55" s="4" t="s">
        <v>25</v>
      </c>
      <c r="L55" s="4" t="s">
        <v>25</v>
      </c>
      <c r="M55" s="4" t="n">
        <v>1</v>
      </c>
      <c r="N55" s="4" t="s">
        <v>25</v>
      </c>
      <c r="O55" s="9" t="n">
        <v>4</v>
      </c>
      <c r="P55" s="9"/>
      <c r="Q55" s="9"/>
      <c r="R55" s="9"/>
      <c r="S55" s="9" t="n">
        <f aca="false">O55-P55-Q55-R55</f>
        <v>4</v>
      </c>
    </row>
    <row r="56" customFormat="false" ht="15" hidden="false" customHeight="false" outlineLevel="0" collapsed="false">
      <c r="A56" s="4" t="s">
        <v>135</v>
      </c>
      <c r="B56" s="4" t="s">
        <v>167</v>
      </c>
      <c r="C56" s="5" t="s">
        <v>152</v>
      </c>
      <c r="D56" s="10" t="s">
        <v>168</v>
      </c>
      <c r="E56" s="5" t="s">
        <v>70</v>
      </c>
      <c r="F56" s="7" t="n">
        <v>599</v>
      </c>
      <c r="G56" s="8" t="n">
        <v>45414</v>
      </c>
      <c r="H56" s="5" t="s">
        <v>24</v>
      </c>
      <c r="I56" s="4" t="s">
        <v>25</v>
      </c>
      <c r="J56" s="4" t="s">
        <v>25</v>
      </c>
      <c r="K56" s="4" t="s">
        <v>25</v>
      </c>
      <c r="L56" s="4" t="s">
        <v>25</v>
      </c>
      <c r="M56" s="4" t="n">
        <v>2</v>
      </c>
      <c r="N56" s="4" t="s">
        <v>25</v>
      </c>
      <c r="O56" s="9" t="n">
        <v>2</v>
      </c>
      <c r="P56" s="9"/>
      <c r="Q56" s="9"/>
      <c r="R56" s="9"/>
      <c r="S56" s="9" t="n">
        <f aca="false">O56-P56-Q56-R56</f>
        <v>2</v>
      </c>
    </row>
    <row r="57" customFormat="false" ht="15" hidden="false" customHeight="false" outlineLevel="0" collapsed="false">
      <c r="A57" s="4" t="s">
        <v>135</v>
      </c>
      <c r="B57" s="4" t="s">
        <v>169</v>
      </c>
      <c r="C57" s="5" t="s">
        <v>152</v>
      </c>
      <c r="D57" s="20" t="s">
        <v>170</v>
      </c>
      <c r="E57" s="5" t="s">
        <v>70</v>
      </c>
      <c r="F57" s="7" t="n">
        <v>3449.15</v>
      </c>
      <c r="G57" s="8" t="n">
        <v>45311</v>
      </c>
      <c r="H57" s="5" t="s">
        <v>24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9" t="n">
        <v>1</v>
      </c>
      <c r="P57" s="9"/>
      <c r="Q57" s="9"/>
      <c r="R57" s="9"/>
      <c r="S57" s="9" t="n">
        <f aca="false">O57-P57-Q57-R57</f>
        <v>1</v>
      </c>
    </row>
    <row r="58" customFormat="false" ht="15" hidden="false" customHeight="false" outlineLevel="0" collapsed="false">
      <c r="A58" s="4" t="s">
        <v>135</v>
      </c>
      <c r="B58" s="4" t="s">
        <v>171</v>
      </c>
      <c r="C58" s="5" t="s">
        <v>172</v>
      </c>
      <c r="D58" s="6" t="s">
        <v>173</v>
      </c>
      <c r="E58" s="5" t="s">
        <v>70</v>
      </c>
      <c r="F58" s="7" t="n">
        <v>21999</v>
      </c>
      <c r="G58" s="8" t="n">
        <v>45414</v>
      </c>
      <c r="H58" s="5" t="s">
        <v>24</v>
      </c>
      <c r="I58" s="4" t="s">
        <v>67</v>
      </c>
      <c r="J58" s="4" t="n">
        <v>1</v>
      </c>
      <c r="K58" s="4" t="n">
        <v>1</v>
      </c>
      <c r="L58" s="4" t="n">
        <v>1</v>
      </c>
      <c r="M58" s="4" t="s">
        <v>25</v>
      </c>
      <c r="N58" s="4" t="n">
        <v>1</v>
      </c>
      <c r="O58" s="9" t="n">
        <v>3</v>
      </c>
      <c r="P58" s="9" t="n">
        <v>2</v>
      </c>
      <c r="Q58" s="9"/>
      <c r="R58" s="9"/>
      <c r="S58" s="9" t="n">
        <f aca="false">O58-P58-Q58-R58</f>
        <v>1</v>
      </c>
    </row>
    <row r="59" customFormat="false" ht="15" hidden="false" customHeight="false" outlineLevel="0" collapsed="false">
      <c r="A59" s="4" t="s">
        <v>135</v>
      </c>
      <c r="B59" s="4" t="s">
        <v>174</v>
      </c>
      <c r="C59" s="5" t="s">
        <v>172</v>
      </c>
      <c r="D59" s="6" t="s">
        <v>175</v>
      </c>
      <c r="E59" s="5" t="s">
        <v>70</v>
      </c>
      <c r="F59" s="7" t="n">
        <v>12499</v>
      </c>
      <c r="G59" s="8" t="n">
        <v>45414</v>
      </c>
      <c r="H59" s="5" t="s">
        <v>24</v>
      </c>
      <c r="I59" s="4" t="s">
        <v>67</v>
      </c>
      <c r="J59" s="4" t="s">
        <v>67</v>
      </c>
      <c r="K59" s="4" t="s">
        <v>25</v>
      </c>
      <c r="L59" s="4" t="s">
        <v>25</v>
      </c>
      <c r="M59" s="4" t="n">
        <v>1</v>
      </c>
      <c r="N59" s="4" t="s">
        <v>25</v>
      </c>
      <c r="O59" s="9" t="n">
        <v>0</v>
      </c>
      <c r="P59" s="9"/>
      <c r="Q59" s="9"/>
      <c r="R59" s="9"/>
      <c r="S59" s="9" t="n">
        <f aca="false">O59-P59-Q59-R59</f>
        <v>0</v>
      </c>
    </row>
    <row r="60" customFormat="false" ht="15" hidden="false" customHeight="false" outlineLevel="0" collapsed="false">
      <c r="A60" s="4" t="s">
        <v>135</v>
      </c>
      <c r="B60" s="4" t="s">
        <v>176</v>
      </c>
      <c r="C60" s="5" t="s">
        <v>172</v>
      </c>
      <c r="D60" s="10" t="s">
        <v>177</v>
      </c>
      <c r="E60" s="5" t="s">
        <v>70</v>
      </c>
      <c r="F60" s="7" t="n">
        <v>5499</v>
      </c>
      <c r="G60" s="8" t="n">
        <v>45414</v>
      </c>
      <c r="H60" s="5" t="s">
        <v>24</v>
      </c>
      <c r="I60" s="4" t="n">
        <v>1</v>
      </c>
      <c r="J60" s="4" t="s">
        <v>67</v>
      </c>
      <c r="K60" s="4" t="s">
        <v>25</v>
      </c>
      <c r="L60" s="4" t="s">
        <v>25</v>
      </c>
      <c r="M60" s="4" t="n">
        <v>1</v>
      </c>
      <c r="N60" s="4" t="s">
        <v>25</v>
      </c>
      <c r="O60" s="9" t="n">
        <v>1</v>
      </c>
      <c r="P60" s="9"/>
      <c r="Q60" s="9" t="n">
        <v>1</v>
      </c>
      <c r="R60" s="9"/>
      <c r="S60" s="9" t="n">
        <f aca="false">O60-P60-Q60-R60</f>
        <v>0</v>
      </c>
    </row>
    <row r="61" customFormat="false" ht="15" hidden="false" customHeight="false" outlineLevel="0" collapsed="false">
      <c r="A61" s="4" t="s">
        <v>135</v>
      </c>
      <c r="B61" s="4" t="s">
        <v>178</v>
      </c>
      <c r="C61" s="5" t="s">
        <v>172</v>
      </c>
      <c r="D61" s="6" t="s">
        <v>179</v>
      </c>
      <c r="E61" s="5" t="s">
        <v>70</v>
      </c>
      <c r="F61" s="7" t="n">
        <v>2399</v>
      </c>
      <c r="G61" s="8" t="n">
        <v>45414</v>
      </c>
      <c r="H61" s="5" t="s">
        <v>24</v>
      </c>
      <c r="I61" s="4" t="s">
        <v>67</v>
      </c>
      <c r="J61" s="4" t="s">
        <v>67</v>
      </c>
      <c r="K61" s="4" t="s">
        <v>25</v>
      </c>
      <c r="L61" s="4" t="s">
        <v>25</v>
      </c>
      <c r="M61" s="4" t="n">
        <v>1</v>
      </c>
      <c r="N61" s="4" t="s">
        <v>25</v>
      </c>
      <c r="O61" s="9" t="n">
        <v>0</v>
      </c>
      <c r="P61" s="9"/>
      <c r="Q61" s="9"/>
      <c r="R61" s="9"/>
      <c r="S61" s="9" t="n">
        <f aca="false">O61-P61-Q61-R61</f>
        <v>0</v>
      </c>
    </row>
    <row r="62" customFormat="false" ht="15" hidden="false" customHeight="false" outlineLevel="0" collapsed="false">
      <c r="A62" s="4" t="s">
        <v>135</v>
      </c>
      <c r="B62" s="4" t="s">
        <v>180</v>
      </c>
      <c r="C62" s="5" t="s">
        <v>181</v>
      </c>
      <c r="D62" s="6" t="s">
        <v>182</v>
      </c>
      <c r="E62" s="5" t="s">
        <v>70</v>
      </c>
      <c r="F62" s="7" t="n">
        <v>4700</v>
      </c>
      <c r="G62" s="8" t="n">
        <v>45414</v>
      </c>
      <c r="H62" s="5" t="s">
        <v>24</v>
      </c>
      <c r="I62" s="4" t="n">
        <v>4</v>
      </c>
      <c r="J62" s="4" t="s">
        <v>67</v>
      </c>
      <c r="K62" s="4" t="s">
        <v>25</v>
      </c>
      <c r="L62" s="4" t="s">
        <v>25</v>
      </c>
      <c r="M62" s="4" t="s">
        <v>25</v>
      </c>
      <c r="N62" s="4" t="s">
        <v>25</v>
      </c>
      <c r="O62" s="9" t="n">
        <v>15</v>
      </c>
      <c r="P62" s="9"/>
      <c r="Q62" s="9"/>
      <c r="R62" s="9"/>
      <c r="S62" s="9" t="n">
        <f aca="false">O62-P62-Q62-R62</f>
        <v>15</v>
      </c>
    </row>
    <row r="63" customFormat="false" ht="15" hidden="false" customHeight="false" outlineLevel="0" collapsed="false">
      <c r="A63" s="4" t="s">
        <v>135</v>
      </c>
      <c r="B63" s="4" t="s">
        <v>183</v>
      </c>
      <c r="C63" s="5" t="s">
        <v>181</v>
      </c>
      <c r="D63" s="6" t="s">
        <v>184</v>
      </c>
      <c r="E63" s="5" t="s">
        <v>70</v>
      </c>
      <c r="F63" s="7" t="n">
        <v>18762</v>
      </c>
      <c r="G63" s="8" t="n">
        <v>45414</v>
      </c>
      <c r="H63" s="5" t="s">
        <v>24</v>
      </c>
      <c r="I63" s="4" t="s">
        <v>25</v>
      </c>
      <c r="J63" s="4" t="s">
        <v>67</v>
      </c>
      <c r="K63" s="4" t="s">
        <v>25</v>
      </c>
      <c r="L63" s="4" t="s">
        <v>25</v>
      </c>
      <c r="M63" s="4" t="s">
        <v>25</v>
      </c>
      <c r="N63" s="4" t="s">
        <v>25</v>
      </c>
      <c r="O63" s="9" t="n">
        <v>4</v>
      </c>
      <c r="P63" s="9"/>
      <c r="Q63" s="9"/>
      <c r="R63" s="9"/>
      <c r="S63" s="9" t="n">
        <f aca="false">O63-P63-Q63-R63</f>
        <v>4</v>
      </c>
    </row>
    <row r="64" customFormat="false" ht="15" hidden="false" customHeight="false" outlineLevel="0" collapsed="false">
      <c r="A64" s="4" t="s">
        <v>135</v>
      </c>
      <c r="B64" s="4" t="s">
        <v>185</v>
      </c>
      <c r="C64" s="5" t="s">
        <v>181</v>
      </c>
      <c r="D64" s="6" t="s">
        <v>186</v>
      </c>
      <c r="E64" s="5" t="s">
        <v>70</v>
      </c>
      <c r="F64" s="7" t="n">
        <v>7863</v>
      </c>
      <c r="G64" s="8" t="n">
        <v>45414</v>
      </c>
      <c r="H64" s="5" t="s">
        <v>24</v>
      </c>
      <c r="I64" s="4" t="s">
        <v>25</v>
      </c>
      <c r="J64" s="4" t="n">
        <v>4</v>
      </c>
      <c r="K64" s="4" t="s">
        <v>25</v>
      </c>
      <c r="L64" s="4" t="s">
        <v>25</v>
      </c>
      <c r="M64" s="4" t="s">
        <v>25</v>
      </c>
      <c r="N64" s="4" t="s">
        <v>25</v>
      </c>
      <c r="O64" s="9" t="n">
        <v>6</v>
      </c>
      <c r="P64" s="9"/>
      <c r="Q64" s="9" t="n">
        <v>4</v>
      </c>
      <c r="R64" s="9"/>
      <c r="S64" s="9" t="n">
        <f aca="false">O64-P64-Q64-R64</f>
        <v>2</v>
      </c>
    </row>
    <row r="65" customFormat="false" ht="15" hidden="false" customHeight="false" outlineLevel="0" collapsed="false">
      <c r="A65" s="9" t="s">
        <v>135</v>
      </c>
      <c r="B65" s="4" t="s">
        <v>187</v>
      </c>
      <c r="C65" s="5" t="s">
        <v>181</v>
      </c>
      <c r="D65" s="6" t="s">
        <v>188</v>
      </c>
      <c r="E65" s="5" t="s">
        <v>70</v>
      </c>
      <c r="F65" s="14" t="n">
        <v>11372.84</v>
      </c>
      <c r="G65" s="15" t="n">
        <v>45414</v>
      </c>
      <c r="H65" s="5" t="s">
        <v>24</v>
      </c>
      <c r="I65" s="9" t="s">
        <v>25</v>
      </c>
      <c r="J65" s="9" t="s">
        <v>25</v>
      </c>
      <c r="K65" s="9" t="s">
        <v>25</v>
      </c>
      <c r="L65" s="9" t="s">
        <v>25</v>
      </c>
      <c r="M65" s="9" t="s">
        <v>25</v>
      </c>
      <c r="N65" s="9" t="n">
        <v>6</v>
      </c>
      <c r="O65" s="9" t="n">
        <v>14</v>
      </c>
      <c r="P65" s="9" t="n">
        <v>12</v>
      </c>
      <c r="Q65" s="9"/>
      <c r="R65" s="9"/>
      <c r="S65" s="9" t="n">
        <f aca="false">O65-P65-Q65-R65</f>
        <v>2</v>
      </c>
    </row>
    <row r="66" customFormat="false" ht="15" hidden="false" customHeight="false" outlineLevel="0" collapsed="false">
      <c r="A66" s="9" t="s">
        <v>135</v>
      </c>
      <c r="B66" s="4" t="s">
        <v>189</v>
      </c>
      <c r="C66" s="5" t="s">
        <v>181</v>
      </c>
      <c r="D66" s="10" t="s">
        <v>190</v>
      </c>
      <c r="E66" s="5" t="s">
        <v>81</v>
      </c>
      <c r="F66" s="14" t="n">
        <v>1199</v>
      </c>
      <c r="G66" s="15" t="n">
        <v>45414</v>
      </c>
      <c r="H66" s="5" t="s">
        <v>24</v>
      </c>
      <c r="I66" s="9" t="s">
        <v>25</v>
      </c>
      <c r="J66" s="9" t="s">
        <v>25</v>
      </c>
      <c r="K66" s="9" t="s">
        <v>25</v>
      </c>
      <c r="L66" s="9" t="s">
        <v>25</v>
      </c>
      <c r="M66" s="9" t="n">
        <v>4</v>
      </c>
      <c r="N66" s="9" t="s">
        <v>25</v>
      </c>
      <c r="O66" s="9" t="n">
        <v>4</v>
      </c>
      <c r="P66" s="9"/>
      <c r="Q66" s="9"/>
      <c r="R66" s="9"/>
      <c r="S66" s="9" t="n">
        <f aca="false">O66-P66-Q66-R66</f>
        <v>4</v>
      </c>
    </row>
    <row r="67" customFormat="false" ht="15" hidden="false" customHeight="false" outlineLevel="0" collapsed="false">
      <c r="A67" s="9" t="s">
        <v>135</v>
      </c>
      <c r="B67" s="4" t="s">
        <v>191</v>
      </c>
      <c r="C67" s="9" t="s">
        <v>192</v>
      </c>
      <c r="D67" s="6" t="s">
        <v>193</v>
      </c>
      <c r="E67" s="5" t="s">
        <v>70</v>
      </c>
      <c r="F67" s="14" t="n">
        <v>2800</v>
      </c>
      <c r="G67" s="15" t="n">
        <v>45414</v>
      </c>
      <c r="H67" s="5" t="s">
        <v>24</v>
      </c>
      <c r="I67" s="9" t="n">
        <v>4</v>
      </c>
      <c r="J67" s="9" t="s">
        <v>25</v>
      </c>
      <c r="K67" s="9" t="s">
        <v>25</v>
      </c>
      <c r="L67" s="9" t="s">
        <v>25</v>
      </c>
      <c r="M67" s="9" t="s">
        <v>25</v>
      </c>
      <c r="N67" s="9" t="s">
        <v>25</v>
      </c>
      <c r="O67" s="9" t="n">
        <v>8</v>
      </c>
      <c r="P67" s="9"/>
      <c r="Q67" s="9" t="n">
        <v>4</v>
      </c>
      <c r="R67" s="9"/>
      <c r="S67" s="9" t="n">
        <f aca="false">O67-P67-Q67-R67</f>
        <v>4</v>
      </c>
    </row>
    <row r="68" customFormat="false" ht="15" hidden="false" customHeight="false" outlineLevel="0" collapsed="false">
      <c r="A68" s="9" t="s">
        <v>135</v>
      </c>
      <c r="B68" s="4" t="s">
        <v>194</v>
      </c>
      <c r="C68" s="9" t="s">
        <v>195</v>
      </c>
      <c r="D68" s="6" t="s">
        <v>196</v>
      </c>
      <c r="E68" s="5" t="s">
        <v>70</v>
      </c>
      <c r="F68" s="14" t="n">
        <v>599</v>
      </c>
      <c r="G68" s="15" t="n">
        <v>45414</v>
      </c>
      <c r="H68" s="5" t="s">
        <v>24</v>
      </c>
      <c r="I68" s="9" t="n">
        <v>1</v>
      </c>
      <c r="J68" s="9" t="n">
        <v>1</v>
      </c>
      <c r="K68" s="9" t="n">
        <v>1</v>
      </c>
      <c r="L68" s="9" t="s">
        <v>67</v>
      </c>
      <c r="M68" s="9" t="s">
        <v>25</v>
      </c>
      <c r="N68" s="9" t="n">
        <v>1</v>
      </c>
      <c r="O68" s="9" t="n">
        <v>1</v>
      </c>
      <c r="P68" s="9"/>
      <c r="Q68" s="9"/>
      <c r="R68" s="9"/>
      <c r="S68" s="9" t="n">
        <f aca="false">O68-P68-Q68-R68</f>
        <v>1</v>
      </c>
    </row>
    <row r="69" customFormat="false" ht="15" hidden="false" customHeight="false" outlineLevel="0" collapsed="false">
      <c r="A69" s="9" t="s">
        <v>135</v>
      </c>
      <c r="B69" s="4" t="s">
        <v>197</v>
      </c>
      <c r="C69" s="9" t="s">
        <v>195</v>
      </c>
      <c r="D69" s="6" t="s">
        <v>198</v>
      </c>
      <c r="E69" s="5" t="s">
        <v>70</v>
      </c>
      <c r="F69" s="14" t="n">
        <v>599</v>
      </c>
      <c r="G69" s="15" t="n">
        <v>45414</v>
      </c>
      <c r="H69" s="5" t="s">
        <v>24</v>
      </c>
      <c r="I69" s="9" t="n">
        <v>1</v>
      </c>
      <c r="J69" s="9" t="n">
        <v>1</v>
      </c>
      <c r="K69" s="9" t="n">
        <v>1</v>
      </c>
      <c r="L69" s="9" t="s">
        <v>67</v>
      </c>
      <c r="M69" s="9" t="s">
        <v>25</v>
      </c>
      <c r="N69" s="9" t="n">
        <v>1</v>
      </c>
      <c r="O69" s="9" t="n">
        <v>1</v>
      </c>
      <c r="P69" s="9"/>
      <c r="Q69" s="9"/>
      <c r="R69" s="9"/>
      <c r="S69" s="9" t="n">
        <f aca="false">O69-P69-Q69-R69</f>
        <v>1</v>
      </c>
    </row>
    <row r="70" customFormat="false" ht="15" hidden="false" customHeight="false" outlineLevel="0" collapsed="false">
      <c r="A70" s="9" t="s">
        <v>135</v>
      </c>
      <c r="B70" s="4" t="s">
        <v>199</v>
      </c>
      <c r="C70" s="9" t="s">
        <v>200</v>
      </c>
      <c r="D70" s="10" t="s">
        <v>201</v>
      </c>
      <c r="E70" s="5" t="s">
        <v>70</v>
      </c>
      <c r="F70" s="14" t="n">
        <v>585</v>
      </c>
      <c r="G70" s="15" t="n">
        <v>45414</v>
      </c>
      <c r="H70" s="5" t="s">
        <v>24</v>
      </c>
      <c r="I70" s="9" t="s">
        <v>67</v>
      </c>
      <c r="J70" s="9" t="s">
        <v>67</v>
      </c>
      <c r="K70" s="9" t="n">
        <v>1</v>
      </c>
      <c r="L70" s="9" t="s">
        <v>67</v>
      </c>
      <c r="M70" s="9" t="s">
        <v>25</v>
      </c>
      <c r="N70" s="9" t="s">
        <v>25</v>
      </c>
      <c r="O70" s="9" t="n">
        <v>0</v>
      </c>
      <c r="P70" s="9"/>
      <c r="Q70" s="9"/>
      <c r="R70" s="9"/>
      <c r="S70" s="9" t="n">
        <f aca="false">O70-P70-Q70-R70</f>
        <v>0</v>
      </c>
    </row>
    <row r="71" customFormat="false" ht="15" hidden="false" customHeight="false" outlineLevel="0" collapsed="false">
      <c r="A71" s="9" t="s">
        <v>135</v>
      </c>
      <c r="B71" s="4" t="s">
        <v>202</v>
      </c>
      <c r="C71" s="9" t="s">
        <v>200</v>
      </c>
      <c r="D71" s="6" t="s">
        <v>203</v>
      </c>
      <c r="E71" s="5" t="s">
        <v>70</v>
      </c>
      <c r="F71" s="14" t="n">
        <v>240</v>
      </c>
      <c r="G71" s="15" t="n">
        <v>45414</v>
      </c>
      <c r="H71" s="5" t="s">
        <v>24</v>
      </c>
      <c r="I71" s="9" t="n">
        <v>1</v>
      </c>
      <c r="J71" s="9" t="s">
        <v>67</v>
      </c>
      <c r="K71" s="9" t="s">
        <v>67</v>
      </c>
      <c r="L71" s="9" t="s">
        <v>67</v>
      </c>
      <c r="M71" s="9" t="s">
        <v>25</v>
      </c>
      <c r="N71" s="9" t="s">
        <v>25</v>
      </c>
      <c r="O71" s="9" t="n">
        <v>5</v>
      </c>
      <c r="P71" s="9"/>
      <c r="Q71" s="9"/>
      <c r="R71" s="9"/>
      <c r="S71" s="9" t="n">
        <f aca="false">O71-P71-Q71-R71</f>
        <v>5</v>
      </c>
    </row>
    <row r="72" customFormat="false" ht="15" hidden="false" customHeight="false" outlineLevel="0" collapsed="false">
      <c r="A72" s="9" t="s">
        <v>135</v>
      </c>
      <c r="B72" s="4" t="s">
        <v>204</v>
      </c>
      <c r="C72" s="9" t="s">
        <v>195</v>
      </c>
      <c r="D72" s="6" t="s">
        <v>205</v>
      </c>
      <c r="E72" s="5" t="s">
        <v>70</v>
      </c>
      <c r="F72" s="14" t="n">
        <v>599</v>
      </c>
      <c r="G72" s="15" t="n">
        <v>45414</v>
      </c>
      <c r="H72" s="5" t="s">
        <v>24</v>
      </c>
      <c r="I72" s="9" t="n">
        <v>1</v>
      </c>
      <c r="J72" s="9" t="n">
        <v>1</v>
      </c>
      <c r="K72" s="9" t="n">
        <v>1</v>
      </c>
      <c r="L72" s="9" t="s">
        <v>67</v>
      </c>
      <c r="M72" s="9" t="s">
        <v>25</v>
      </c>
      <c r="N72" s="9" t="s">
        <v>25</v>
      </c>
      <c r="O72" s="9" t="n">
        <v>1</v>
      </c>
      <c r="P72" s="9"/>
      <c r="Q72" s="9"/>
      <c r="R72" s="9"/>
      <c r="S72" s="9" t="n">
        <f aca="false">O72-P72-Q72-R72</f>
        <v>1</v>
      </c>
    </row>
    <row r="73" customFormat="false" ht="15" hidden="false" customHeight="false" outlineLevel="0" collapsed="false">
      <c r="A73" s="9" t="s">
        <v>135</v>
      </c>
      <c r="B73" s="4" t="s">
        <v>206</v>
      </c>
      <c r="C73" s="9" t="s">
        <v>195</v>
      </c>
      <c r="D73" s="6" t="s">
        <v>207</v>
      </c>
      <c r="E73" s="5" t="s">
        <v>70</v>
      </c>
      <c r="F73" s="14" t="n">
        <v>135</v>
      </c>
      <c r="G73" s="15" t="n">
        <v>45414</v>
      </c>
      <c r="H73" s="5" t="s">
        <v>24</v>
      </c>
      <c r="I73" s="9" t="n">
        <v>1</v>
      </c>
      <c r="J73" s="9" t="n">
        <v>1</v>
      </c>
      <c r="K73" s="9" t="n">
        <v>1</v>
      </c>
      <c r="L73" s="9" t="n">
        <v>1</v>
      </c>
      <c r="M73" s="9" t="n">
        <v>1</v>
      </c>
      <c r="N73" s="9" t="n">
        <v>1</v>
      </c>
      <c r="O73" s="9" t="n">
        <v>7</v>
      </c>
      <c r="P73" s="9" t="n">
        <v>2</v>
      </c>
      <c r="Q73" s="9"/>
      <c r="R73" s="9"/>
      <c r="S73" s="9" t="n">
        <f aca="false">O73-P73-Q73-R73</f>
        <v>5</v>
      </c>
    </row>
    <row r="74" customFormat="false" ht="15" hidden="false" customHeight="false" outlineLevel="0" collapsed="false">
      <c r="A74" s="9" t="s">
        <v>135</v>
      </c>
      <c r="B74" s="4" t="s">
        <v>208</v>
      </c>
      <c r="C74" s="9" t="s">
        <v>209</v>
      </c>
      <c r="D74" s="21" t="s">
        <v>210</v>
      </c>
      <c r="E74" s="5" t="s">
        <v>70</v>
      </c>
      <c r="F74" s="14" t="n">
        <v>95.99</v>
      </c>
      <c r="G74" s="15" t="n">
        <v>45414</v>
      </c>
      <c r="H74" s="5" t="s">
        <v>24</v>
      </c>
      <c r="I74" s="9" t="s">
        <v>25</v>
      </c>
      <c r="J74" s="9" t="s">
        <v>25</v>
      </c>
      <c r="K74" s="9" t="n">
        <v>2</v>
      </c>
      <c r="L74" s="9" t="s">
        <v>67</v>
      </c>
      <c r="M74" s="9" t="s">
        <v>25</v>
      </c>
      <c r="N74" s="9" t="n">
        <v>1</v>
      </c>
      <c r="O74" s="9" t="n">
        <v>20</v>
      </c>
      <c r="P74" s="9"/>
      <c r="Q74" s="9"/>
      <c r="R74" s="9"/>
      <c r="S74" s="9" t="n">
        <f aca="false">O74-P74-Q74-R74</f>
        <v>20</v>
      </c>
    </row>
    <row r="75" customFormat="false" ht="15" hidden="false" customHeight="false" outlineLevel="0" collapsed="false">
      <c r="A75" s="9" t="s">
        <v>135</v>
      </c>
      <c r="B75" s="4" t="s">
        <v>211</v>
      </c>
      <c r="C75" s="9" t="s">
        <v>209</v>
      </c>
      <c r="D75" s="6" t="s">
        <v>212</v>
      </c>
      <c r="E75" s="5" t="s">
        <v>70</v>
      </c>
      <c r="F75" s="14" t="n">
        <v>29</v>
      </c>
      <c r="G75" s="15" t="n">
        <v>45414</v>
      </c>
      <c r="H75" s="5" t="s">
        <v>24</v>
      </c>
      <c r="I75" s="9" t="n">
        <v>5</v>
      </c>
      <c r="J75" s="9" t="n">
        <v>5</v>
      </c>
      <c r="K75" s="9" t="n">
        <v>5</v>
      </c>
      <c r="L75" s="9" t="n">
        <v>5</v>
      </c>
      <c r="M75" s="9" t="n">
        <v>1</v>
      </c>
      <c r="N75" s="9" t="n">
        <v>1</v>
      </c>
      <c r="O75" s="9" t="n">
        <v>20</v>
      </c>
      <c r="P75" s="9"/>
      <c r="Q75" s="9"/>
      <c r="R75" s="9"/>
      <c r="S75" s="9" t="n">
        <f aca="false">O75-P75-Q75-R75</f>
        <v>20</v>
      </c>
    </row>
    <row r="76" customFormat="false" ht="15" hidden="false" customHeight="false" outlineLevel="0" collapsed="false">
      <c r="A76" s="9" t="s">
        <v>135</v>
      </c>
      <c r="B76" s="4" t="s">
        <v>213</v>
      </c>
      <c r="C76" s="9" t="s">
        <v>209</v>
      </c>
      <c r="D76" s="6" t="s">
        <v>214</v>
      </c>
      <c r="E76" s="5" t="s">
        <v>70</v>
      </c>
      <c r="F76" s="14" t="n">
        <v>29</v>
      </c>
      <c r="G76" s="15" t="n">
        <v>45414</v>
      </c>
      <c r="H76" s="5" t="s">
        <v>24</v>
      </c>
      <c r="I76" s="9" t="n">
        <v>5</v>
      </c>
      <c r="J76" s="9" t="n">
        <v>5</v>
      </c>
      <c r="K76" s="9" t="n">
        <v>5</v>
      </c>
      <c r="L76" s="9" t="n">
        <v>5</v>
      </c>
      <c r="M76" s="9" t="n">
        <v>1</v>
      </c>
      <c r="N76" s="9" t="n">
        <v>1</v>
      </c>
      <c r="O76" s="9" t="n">
        <v>20</v>
      </c>
      <c r="P76" s="9" t="n">
        <v>8</v>
      </c>
      <c r="Q76" s="9"/>
      <c r="R76" s="9"/>
      <c r="S76" s="9" t="n">
        <f aca="false">O76-P76-Q76-R76</f>
        <v>12</v>
      </c>
    </row>
    <row r="77" customFormat="false" ht="15" hidden="false" customHeight="false" outlineLevel="0" collapsed="false">
      <c r="A77" s="4" t="s">
        <v>215</v>
      </c>
      <c r="B77" s="4" t="s">
        <v>216</v>
      </c>
      <c r="C77" s="4" t="s">
        <v>217</v>
      </c>
      <c r="D77" s="10" t="s">
        <v>218</v>
      </c>
      <c r="E77" s="5" t="s">
        <v>70</v>
      </c>
      <c r="F77" s="7" t="n">
        <v>15656.25</v>
      </c>
      <c r="G77" s="8" t="n">
        <v>45414</v>
      </c>
      <c r="H77" s="5" t="s">
        <v>24</v>
      </c>
      <c r="I77" s="4" t="s">
        <v>67</v>
      </c>
      <c r="J77" s="4" t="s">
        <v>67</v>
      </c>
      <c r="K77" s="4" t="s">
        <v>25</v>
      </c>
      <c r="L77" s="4" t="s">
        <v>25</v>
      </c>
      <c r="M77" s="4" t="s">
        <v>25</v>
      </c>
      <c r="N77" s="4" t="s">
        <v>25</v>
      </c>
      <c r="O77" s="9" t="n">
        <v>1</v>
      </c>
      <c r="P77" s="9"/>
      <c r="Q77" s="9"/>
      <c r="R77" s="9"/>
      <c r="S77" s="9" t="n">
        <f aca="false">O77-P77-Q77-R77</f>
        <v>1</v>
      </c>
    </row>
    <row r="78" customFormat="false" ht="15" hidden="false" customHeight="false" outlineLevel="0" collapsed="false">
      <c r="A78" s="4" t="s">
        <v>215</v>
      </c>
      <c r="B78" s="4" t="s">
        <v>219</v>
      </c>
      <c r="C78" s="4" t="s">
        <v>220</v>
      </c>
      <c r="D78" s="10" t="s">
        <v>221</v>
      </c>
      <c r="E78" s="5" t="s">
        <v>70</v>
      </c>
      <c r="F78" s="7" t="n">
        <v>6070</v>
      </c>
      <c r="G78" s="8" t="n">
        <v>45414</v>
      </c>
      <c r="H78" s="5" t="s">
        <v>24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9" t="n">
        <v>0</v>
      </c>
      <c r="P78" s="9"/>
      <c r="Q78" s="9"/>
      <c r="R78" s="9"/>
      <c r="S78" s="9" t="n">
        <f aca="false">O78-P78-Q78-R78</f>
        <v>0</v>
      </c>
    </row>
    <row r="79" customFormat="false" ht="15" hidden="false" customHeight="false" outlineLevel="0" collapsed="false">
      <c r="A79" s="9" t="s">
        <v>215</v>
      </c>
      <c r="B79" s="4" t="s">
        <v>222</v>
      </c>
      <c r="C79" s="9" t="s">
        <v>217</v>
      </c>
      <c r="D79" s="10" t="s">
        <v>223</v>
      </c>
      <c r="E79" s="5" t="s">
        <v>70</v>
      </c>
      <c r="F79" s="14" t="n">
        <v>8500</v>
      </c>
      <c r="G79" s="15" t="n">
        <v>45414</v>
      </c>
      <c r="H79" s="5" t="s">
        <v>24</v>
      </c>
      <c r="I79" s="9" t="s">
        <v>25</v>
      </c>
      <c r="J79" s="9" t="s">
        <v>67</v>
      </c>
      <c r="K79" s="9" t="s">
        <v>25</v>
      </c>
      <c r="L79" s="9" t="s">
        <v>25</v>
      </c>
      <c r="M79" s="9" t="s">
        <v>25</v>
      </c>
      <c r="N79" s="9" t="s">
        <v>25</v>
      </c>
      <c r="O79" s="9" t="n">
        <v>1</v>
      </c>
      <c r="P79" s="9"/>
      <c r="Q79" s="9"/>
      <c r="R79" s="9"/>
      <c r="S79" s="9" t="n">
        <f aca="false">O79-P79-Q79-R79</f>
        <v>1</v>
      </c>
    </row>
    <row r="80" customFormat="false" ht="15" hidden="false" customHeight="false" outlineLevel="0" collapsed="false">
      <c r="A80" s="9" t="s">
        <v>215</v>
      </c>
      <c r="B80" s="4" t="s">
        <v>224</v>
      </c>
      <c r="C80" s="9" t="s">
        <v>217</v>
      </c>
      <c r="D80" s="10" t="s">
        <v>225</v>
      </c>
      <c r="E80" s="5" t="s">
        <v>70</v>
      </c>
      <c r="F80" s="14" t="n">
        <v>2699.1</v>
      </c>
      <c r="G80" s="15" t="n">
        <v>45323</v>
      </c>
      <c r="H80" s="5" t="s">
        <v>24</v>
      </c>
      <c r="I80" s="9" t="s">
        <v>25</v>
      </c>
      <c r="J80" s="9" t="s">
        <v>67</v>
      </c>
      <c r="K80" s="9" t="s">
        <v>25</v>
      </c>
      <c r="L80" s="9" t="s">
        <v>25</v>
      </c>
      <c r="M80" s="9" t="s">
        <v>25</v>
      </c>
      <c r="N80" s="9" t="s">
        <v>25</v>
      </c>
      <c r="O80" s="9" t="n">
        <v>1</v>
      </c>
      <c r="P80" s="9"/>
      <c r="Q80" s="9"/>
      <c r="R80" s="9"/>
      <c r="S80" s="9" t="n">
        <f aca="false">O80-P80-Q80-R80</f>
        <v>1</v>
      </c>
    </row>
    <row r="81" customFormat="false" ht="15" hidden="false" customHeight="false" outlineLevel="0" collapsed="false">
      <c r="A81" s="9" t="s">
        <v>215</v>
      </c>
      <c r="B81" s="4" t="s">
        <v>226</v>
      </c>
      <c r="C81" s="9" t="s">
        <v>227</v>
      </c>
      <c r="D81" s="6" t="s">
        <v>228</v>
      </c>
      <c r="E81" s="5" t="s">
        <v>70</v>
      </c>
      <c r="F81" s="14" t="n">
        <v>2999</v>
      </c>
      <c r="G81" s="15" t="n">
        <v>45414</v>
      </c>
      <c r="H81" s="5" t="s">
        <v>24</v>
      </c>
      <c r="I81" s="9" t="s">
        <v>39</v>
      </c>
      <c r="J81" s="9" t="s">
        <v>39</v>
      </c>
      <c r="K81" s="9" t="s">
        <v>39</v>
      </c>
      <c r="L81" s="9" t="s">
        <v>39</v>
      </c>
      <c r="M81" s="9" t="s">
        <v>39</v>
      </c>
      <c r="N81" s="9" t="s">
        <v>39</v>
      </c>
      <c r="O81" s="9" t="n">
        <v>2</v>
      </c>
      <c r="P81" s="9"/>
      <c r="Q81" s="9"/>
      <c r="R81" s="9"/>
      <c r="S81" s="9" t="n">
        <f aca="false">O81-P81-Q81-R81</f>
        <v>2</v>
      </c>
    </row>
    <row r="82" customFormat="false" ht="15" hidden="false" customHeight="false" outlineLevel="0" collapsed="false">
      <c r="A82" s="9" t="s">
        <v>215</v>
      </c>
      <c r="B82" s="4" t="s">
        <v>229</v>
      </c>
      <c r="C82" s="9" t="s">
        <v>227</v>
      </c>
      <c r="D82" s="10" t="s">
        <v>230</v>
      </c>
      <c r="E82" s="5" t="s">
        <v>70</v>
      </c>
      <c r="F82" s="14" t="n">
        <v>599</v>
      </c>
      <c r="G82" s="15" t="n">
        <v>45414</v>
      </c>
      <c r="H82" s="5" t="s">
        <v>24</v>
      </c>
      <c r="I82" s="9" t="s">
        <v>39</v>
      </c>
      <c r="J82" s="9" t="s">
        <v>39</v>
      </c>
      <c r="K82" s="9" t="s">
        <v>39</v>
      </c>
      <c r="L82" s="9" t="s">
        <v>39</v>
      </c>
      <c r="M82" s="9" t="s">
        <v>39</v>
      </c>
      <c r="N82" s="9" t="s">
        <v>39</v>
      </c>
      <c r="O82" s="9" t="n">
        <v>0</v>
      </c>
      <c r="P82" s="9"/>
      <c r="Q82" s="9"/>
      <c r="R82" s="9"/>
      <c r="S82" s="9" t="n">
        <f aca="false">O82-P82-Q82-R82</f>
        <v>0</v>
      </c>
    </row>
    <row r="83" customFormat="false" ht="15" hidden="false" customHeight="false" outlineLevel="0" collapsed="false">
      <c r="A83" s="9" t="s">
        <v>215</v>
      </c>
      <c r="B83" s="4" t="s">
        <v>231</v>
      </c>
      <c r="C83" s="9" t="s">
        <v>195</v>
      </c>
      <c r="D83" s="10" t="s">
        <v>232</v>
      </c>
      <c r="E83" s="5" t="s">
        <v>70</v>
      </c>
      <c r="F83" s="14" t="n">
        <v>2999</v>
      </c>
      <c r="G83" s="15" t="n">
        <v>45414</v>
      </c>
      <c r="H83" s="5" t="s">
        <v>24</v>
      </c>
      <c r="I83" s="9" t="n">
        <v>1</v>
      </c>
      <c r="J83" s="9" t="n">
        <v>1</v>
      </c>
      <c r="K83" s="9" t="n">
        <v>1</v>
      </c>
      <c r="L83" s="9" t="n">
        <v>1</v>
      </c>
      <c r="M83" s="9" t="n">
        <v>1</v>
      </c>
      <c r="N83" s="9" t="s">
        <v>25</v>
      </c>
      <c r="O83" s="9" t="n">
        <v>1</v>
      </c>
      <c r="P83" s="9"/>
      <c r="Q83" s="9"/>
      <c r="R83" s="9"/>
      <c r="S83" s="9" t="n">
        <f aca="false">O83-P83-Q83-R83</f>
        <v>1</v>
      </c>
    </row>
    <row r="84" customFormat="false" ht="15" hidden="false" customHeight="false" outlineLevel="0" collapsed="false">
      <c r="A84" s="9" t="s">
        <v>215</v>
      </c>
      <c r="B84" s="4" t="s">
        <v>233</v>
      </c>
      <c r="C84" s="9" t="s">
        <v>200</v>
      </c>
      <c r="D84" s="10" t="s">
        <v>234</v>
      </c>
      <c r="E84" s="5" t="s">
        <v>70</v>
      </c>
      <c r="F84" s="14" t="n">
        <v>620</v>
      </c>
      <c r="G84" s="15" t="n">
        <v>45359</v>
      </c>
      <c r="H84" s="5" t="s">
        <v>24</v>
      </c>
      <c r="I84" s="9" t="s">
        <v>67</v>
      </c>
      <c r="J84" s="9" t="s">
        <v>67</v>
      </c>
      <c r="K84" s="9" t="s">
        <v>67</v>
      </c>
      <c r="L84" s="9" t="s">
        <v>67</v>
      </c>
      <c r="M84" s="9" t="s">
        <v>25</v>
      </c>
      <c r="N84" s="9" t="s">
        <v>25</v>
      </c>
      <c r="O84" s="9" t="n">
        <v>5</v>
      </c>
      <c r="P84" s="9"/>
      <c r="Q84" s="9"/>
      <c r="R84" s="9"/>
      <c r="S84" s="9" t="n">
        <f aca="false">O84-P84-Q84-R84</f>
        <v>5</v>
      </c>
    </row>
    <row r="85" customFormat="false" ht="15" hidden="false" customHeight="false" outlineLevel="0" collapsed="false">
      <c r="A85" s="9" t="s">
        <v>215</v>
      </c>
      <c r="B85" s="4" t="s">
        <v>235</v>
      </c>
      <c r="C85" s="9" t="s">
        <v>195</v>
      </c>
      <c r="D85" s="10" t="s">
        <v>236</v>
      </c>
      <c r="E85" s="5" t="s">
        <v>70</v>
      </c>
      <c r="F85" s="14" t="n">
        <v>499</v>
      </c>
      <c r="G85" s="15" t="n">
        <v>45414</v>
      </c>
      <c r="H85" s="5" t="s">
        <v>24</v>
      </c>
      <c r="I85" s="9" t="n">
        <v>1</v>
      </c>
      <c r="J85" s="9" t="n">
        <v>1</v>
      </c>
      <c r="K85" s="9" t="n">
        <v>1</v>
      </c>
      <c r="L85" s="9" t="n">
        <v>1</v>
      </c>
      <c r="M85" s="9" t="n">
        <v>1</v>
      </c>
      <c r="N85" s="9" t="s">
        <v>25</v>
      </c>
      <c r="O85" s="9" t="n">
        <v>1</v>
      </c>
      <c r="P85" s="9"/>
      <c r="Q85" s="9"/>
      <c r="R85" s="9"/>
      <c r="S85" s="9" t="n">
        <f aca="false">O85-P85-Q85-R85</f>
        <v>1</v>
      </c>
    </row>
    <row r="86" customFormat="false" ht="15" hidden="false" customHeight="false" outlineLevel="0" collapsed="false">
      <c r="A86" s="9" t="s">
        <v>215</v>
      </c>
      <c r="B86" s="4" t="s">
        <v>237</v>
      </c>
      <c r="C86" s="9" t="s">
        <v>195</v>
      </c>
      <c r="D86" s="10" t="s">
        <v>238</v>
      </c>
      <c r="E86" s="5" t="s">
        <v>70</v>
      </c>
      <c r="F86" s="14" t="n">
        <v>999</v>
      </c>
      <c r="G86" s="15" t="n">
        <v>45414</v>
      </c>
      <c r="H86" s="5" t="s">
        <v>24</v>
      </c>
      <c r="I86" s="9" t="n">
        <v>1</v>
      </c>
      <c r="J86" s="9" t="n">
        <v>1</v>
      </c>
      <c r="K86" s="9" t="n">
        <v>1</v>
      </c>
      <c r="L86" s="9" t="n">
        <v>1</v>
      </c>
      <c r="M86" s="9" t="s">
        <v>25</v>
      </c>
      <c r="N86" s="9" t="s">
        <v>25</v>
      </c>
      <c r="O86" s="9" t="n">
        <v>1</v>
      </c>
      <c r="P86" s="9"/>
      <c r="Q86" s="9"/>
      <c r="R86" s="9"/>
      <c r="S86" s="9" t="n">
        <f aca="false">O86-P86-Q86-R86</f>
        <v>1</v>
      </c>
    </row>
    <row r="87" customFormat="false" ht="15" hidden="false" customHeight="false" outlineLevel="0" collapsed="false">
      <c r="A87" s="9" t="s">
        <v>215</v>
      </c>
      <c r="B87" s="4" t="s">
        <v>239</v>
      </c>
      <c r="C87" s="9" t="s">
        <v>240</v>
      </c>
      <c r="D87" s="6" t="s">
        <v>241</v>
      </c>
      <c r="E87" s="5" t="s">
        <v>70</v>
      </c>
      <c r="F87" s="14" t="n">
        <v>120</v>
      </c>
      <c r="G87" s="15" t="n">
        <v>45414</v>
      </c>
      <c r="H87" s="5" t="s">
        <v>24</v>
      </c>
      <c r="I87" s="9" t="n">
        <v>1</v>
      </c>
      <c r="J87" s="9" t="s">
        <v>67</v>
      </c>
      <c r="K87" s="9" t="s">
        <v>25</v>
      </c>
      <c r="L87" s="9" t="s">
        <v>25</v>
      </c>
      <c r="M87" s="9" t="n">
        <v>1</v>
      </c>
      <c r="N87" s="9" t="n">
        <v>1</v>
      </c>
      <c r="O87" s="9" t="n">
        <v>2</v>
      </c>
      <c r="P87" s="9"/>
      <c r="Q87" s="9" t="n">
        <v>2</v>
      </c>
      <c r="R87" s="9"/>
      <c r="S87" s="9" t="n">
        <f aca="false">O87-P87-Q87-R87</f>
        <v>0</v>
      </c>
    </row>
    <row r="88" customFormat="false" ht="15" hidden="false" customHeight="false" outlineLevel="0" collapsed="false">
      <c r="A88" s="9" t="s">
        <v>215</v>
      </c>
      <c r="B88" s="4" t="s">
        <v>242</v>
      </c>
      <c r="C88" s="22" t="s">
        <v>243</v>
      </c>
      <c r="D88" s="6" t="s">
        <v>244</v>
      </c>
      <c r="E88" s="17" t="s">
        <v>245</v>
      </c>
      <c r="F88" s="14" t="n">
        <v>33332</v>
      </c>
      <c r="G88" s="15" t="n">
        <v>45499</v>
      </c>
      <c r="H88" s="5" t="s">
        <v>24</v>
      </c>
      <c r="I88" s="9" t="n">
        <v>1</v>
      </c>
      <c r="J88" s="9" t="n">
        <v>1</v>
      </c>
      <c r="K88" s="9" t="n">
        <v>1</v>
      </c>
      <c r="L88" s="9" t="n">
        <v>1</v>
      </c>
      <c r="M88" s="9" t="s">
        <v>25</v>
      </c>
      <c r="N88" s="9" t="n">
        <v>1</v>
      </c>
      <c r="O88" s="9" t="n">
        <v>5</v>
      </c>
      <c r="P88" s="9" t="n">
        <v>2</v>
      </c>
      <c r="Q88" s="9"/>
      <c r="R88" s="9"/>
      <c r="S88" s="9" t="n">
        <f aca="false">O88-P88-Q88-R88</f>
        <v>3</v>
      </c>
    </row>
    <row r="89" customFormat="false" ht="15" hidden="false" customHeight="false" outlineLevel="0" collapsed="false">
      <c r="A89" s="9" t="s">
        <v>215</v>
      </c>
      <c r="B89" s="4" t="s">
        <v>246</v>
      </c>
      <c r="C89" s="22" t="s">
        <v>243</v>
      </c>
      <c r="D89" s="6" t="s">
        <v>247</v>
      </c>
      <c r="E89" s="17" t="s">
        <v>245</v>
      </c>
      <c r="F89" s="14" t="n">
        <v>8570</v>
      </c>
      <c r="G89" s="15" t="n">
        <v>45499</v>
      </c>
      <c r="H89" s="5" t="s">
        <v>24</v>
      </c>
      <c r="I89" s="9" t="s">
        <v>67</v>
      </c>
      <c r="J89" s="9" t="s">
        <v>67</v>
      </c>
      <c r="K89" s="9" t="s">
        <v>67</v>
      </c>
      <c r="L89" s="9" t="s">
        <v>25</v>
      </c>
      <c r="M89" s="9" t="s">
        <v>25</v>
      </c>
      <c r="N89" s="9" t="s">
        <v>25</v>
      </c>
      <c r="O89" s="9" t="n">
        <v>2</v>
      </c>
      <c r="P89" s="9"/>
      <c r="Q89" s="9"/>
      <c r="R89" s="9"/>
      <c r="S89" s="9" t="n">
        <f aca="false">O89-P89-Q89-R89</f>
        <v>2</v>
      </c>
    </row>
    <row r="90" customFormat="false" ht="15" hidden="false" customHeight="false" outlineLevel="0" collapsed="false">
      <c r="A90" s="9" t="s">
        <v>215</v>
      </c>
      <c r="B90" s="4" t="s">
        <v>248</v>
      </c>
      <c r="C90" s="22" t="s">
        <v>243</v>
      </c>
      <c r="D90" s="10" t="s">
        <v>249</v>
      </c>
      <c r="E90" s="17" t="s">
        <v>70</v>
      </c>
      <c r="F90" s="14" t="n">
        <v>8810</v>
      </c>
      <c r="G90" s="15" t="n">
        <v>45499</v>
      </c>
      <c r="H90" s="5" t="s">
        <v>24</v>
      </c>
      <c r="I90" s="9" t="s">
        <v>25</v>
      </c>
      <c r="J90" s="9" t="s">
        <v>25</v>
      </c>
      <c r="K90" s="9" t="s">
        <v>25</v>
      </c>
      <c r="L90" s="9" t="s">
        <v>25</v>
      </c>
      <c r="M90" s="9" t="n">
        <v>1</v>
      </c>
      <c r="N90" s="9" t="s">
        <v>25</v>
      </c>
      <c r="O90" s="9" t="n">
        <v>2</v>
      </c>
      <c r="P90" s="9"/>
      <c r="Q90" s="9"/>
      <c r="R90" s="9"/>
      <c r="S90" s="9" t="n">
        <f aca="false">O90-P90-Q90-R90</f>
        <v>2</v>
      </c>
    </row>
    <row r="91" customFormat="false" ht="15" hidden="false" customHeight="false" outlineLevel="0" collapsed="false">
      <c r="A91" s="9" t="s">
        <v>215</v>
      </c>
      <c r="B91" s="4" t="s">
        <v>250</v>
      </c>
      <c r="C91" s="22" t="s">
        <v>243</v>
      </c>
      <c r="D91" s="10" t="s">
        <v>251</v>
      </c>
      <c r="E91" s="17" t="s">
        <v>70</v>
      </c>
      <c r="F91" s="14" t="n">
        <v>11296</v>
      </c>
      <c r="G91" s="15" t="n">
        <v>45499</v>
      </c>
      <c r="H91" s="5" t="s">
        <v>24</v>
      </c>
      <c r="I91" s="9" t="s">
        <v>67</v>
      </c>
      <c r="J91" s="9" t="s">
        <v>67</v>
      </c>
      <c r="K91" s="9" t="s">
        <v>67</v>
      </c>
      <c r="L91" s="9" t="n">
        <v>1</v>
      </c>
      <c r="M91" s="9" t="s">
        <v>25</v>
      </c>
      <c r="N91" s="9" t="s">
        <v>25</v>
      </c>
      <c r="O91" s="9" t="n">
        <v>0</v>
      </c>
      <c r="P91" s="9"/>
      <c r="Q91" s="9"/>
      <c r="R91" s="9"/>
      <c r="S91" s="9" t="n">
        <f aca="false">O91-P91-Q91-R91</f>
        <v>0</v>
      </c>
    </row>
    <row r="92" customFormat="false" ht="15" hidden="false" customHeight="false" outlineLevel="0" collapsed="false">
      <c r="A92" s="9" t="s">
        <v>215</v>
      </c>
      <c r="B92" s="4" t="s">
        <v>252</v>
      </c>
      <c r="C92" s="22" t="s">
        <v>243</v>
      </c>
      <c r="D92" s="10" t="s">
        <v>253</v>
      </c>
      <c r="E92" s="17" t="s">
        <v>254</v>
      </c>
      <c r="F92" s="14" t="n">
        <v>33984</v>
      </c>
      <c r="G92" s="15" t="n">
        <v>45499</v>
      </c>
      <c r="H92" s="5" t="s">
        <v>24</v>
      </c>
      <c r="I92" s="9" t="s">
        <v>25</v>
      </c>
      <c r="J92" s="9" t="s">
        <v>25</v>
      </c>
      <c r="K92" s="9" t="s">
        <v>25</v>
      </c>
      <c r="L92" s="9" t="s">
        <v>25</v>
      </c>
      <c r="M92" s="9" t="s">
        <v>25</v>
      </c>
      <c r="N92" s="9" t="n">
        <v>1</v>
      </c>
      <c r="O92" s="9" t="n">
        <v>0</v>
      </c>
      <c r="P92" s="9"/>
      <c r="Q92" s="9"/>
      <c r="R92" s="9"/>
      <c r="S92" s="9" t="n">
        <f aca="false">O92-P92-Q92-R92</f>
        <v>0</v>
      </c>
    </row>
    <row r="93" customFormat="false" ht="15" hidden="false" customHeight="false" outlineLevel="0" collapsed="false">
      <c r="A93" s="9" t="s">
        <v>215</v>
      </c>
      <c r="B93" s="4" t="s">
        <v>255</v>
      </c>
      <c r="C93" s="23" t="s">
        <v>256</v>
      </c>
      <c r="D93" s="6" t="s">
        <v>257</v>
      </c>
      <c r="E93" s="17" t="s">
        <v>70</v>
      </c>
      <c r="F93" s="14" t="n">
        <v>24500</v>
      </c>
      <c r="G93" s="15" t="n">
        <v>45499</v>
      </c>
      <c r="H93" s="5" t="s">
        <v>24</v>
      </c>
      <c r="I93" s="9" t="n">
        <v>1</v>
      </c>
      <c r="J93" s="9" t="n">
        <v>1</v>
      </c>
      <c r="K93" s="9" t="n">
        <v>2</v>
      </c>
      <c r="L93" s="9" t="s">
        <v>25</v>
      </c>
      <c r="M93" s="9" t="s">
        <v>25</v>
      </c>
      <c r="N93" s="9" t="n">
        <v>1</v>
      </c>
      <c r="O93" s="9" t="n">
        <v>5</v>
      </c>
      <c r="P93" s="9" t="n">
        <v>2</v>
      </c>
      <c r="Q93" s="9"/>
      <c r="R93" s="9"/>
      <c r="S93" s="9" t="n">
        <f aca="false">O93-P93-Q93-R93</f>
        <v>3</v>
      </c>
    </row>
    <row r="94" customFormat="false" ht="15" hidden="false" customHeight="false" outlineLevel="0" collapsed="false">
      <c r="A94" s="9" t="s">
        <v>215</v>
      </c>
      <c r="B94" s="4" t="s">
        <v>258</v>
      </c>
      <c r="C94" s="23" t="s">
        <v>256</v>
      </c>
      <c r="D94" s="10" t="s">
        <v>259</v>
      </c>
      <c r="E94" s="17" t="s">
        <v>70</v>
      </c>
      <c r="F94" s="14" t="n">
        <v>2172</v>
      </c>
      <c r="G94" s="15" t="n">
        <v>45499</v>
      </c>
      <c r="H94" s="5" t="s">
        <v>24</v>
      </c>
      <c r="I94" s="9" t="s">
        <v>25</v>
      </c>
      <c r="J94" s="9" t="s">
        <v>25</v>
      </c>
      <c r="K94" s="9" t="s">
        <v>25</v>
      </c>
      <c r="L94" s="9" t="s">
        <v>25</v>
      </c>
      <c r="M94" s="9" t="n">
        <v>1</v>
      </c>
      <c r="N94" s="9" t="s">
        <v>25</v>
      </c>
      <c r="O94" s="9" t="n">
        <v>2</v>
      </c>
      <c r="P94" s="9"/>
      <c r="Q94" s="9"/>
      <c r="R94" s="9"/>
      <c r="S94" s="9" t="n">
        <f aca="false">O94-P94-Q94-R94</f>
        <v>2</v>
      </c>
    </row>
    <row r="95" customFormat="false" ht="15" hidden="false" customHeight="false" outlineLevel="0" collapsed="false">
      <c r="A95" s="9" t="s">
        <v>215</v>
      </c>
      <c r="B95" s="4" t="s">
        <v>260</v>
      </c>
      <c r="C95" s="9" t="s">
        <v>217</v>
      </c>
      <c r="D95" s="6" t="s">
        <v>261</v>
      </c>
      <c r="E95" s="17" t="s">
        <v>70</v>
      </c>
      <c r="F95" s="14" t="n">
        <v>6579</v>
      </c>
      <c r="G95" s="15" t="n">
        <v>45414</v>
      </c>
      <c r="H95" s="5" t="s">
        <v>24</v>
      </c>
      <c r="I95" s="9" t="s">
        <v>39</v>
      </c>
      <c r="J95" s="9" t="s">
        <v>39</v>
      </c>
      <c r="K95" s="9" t="s">
        <v>39</v>
      </c>
      <c r="L95" s="9" t="s">
        <v>39</v>
      </c>
      <c r="M95" s="9" t="s">
        <v>25</v>
      </c>
      <c r="N95" s="9" t="s">
        <v>39</v>
      </c>
      <c r="O95" s="9" t="n">
        <v>0</v>
      </c>
      <c r="P95" s="9"/>
      <c r="Q95" s="9"/>
      <c r="R95" s="9"/>
      <c r="S95" s="9" t="n">
        <f aca="false">O95-P95-Q95-R95</f>
        <v>0</v>
      </c>
    </row>
    <row r="96" customFormat="false" ht="15" hidden="false" customHeight="false" outlineLevel="0" collapsed="false">
      <c r="A96" s="9" t="s">
        <v>215</v>
      </c>
      <c r="B96" s="4" t="s">
        <v>262</v>
      </c>
      <c r="C96" s="9" t="s">
        <v>217</v>
      </c>
      <c r="D96" s="6" t="s">
        <v>263</v>
      </c>
      <c r="E96" s="17" t="s">
        <v>70</v>
      </c>
      <c r="F96" s="14" t="n">
        <v>4404</v>
      </c>
      <c r="G96" s="15" t="n">
        <v>45414</v>
      </c>
      <c r="H96" s="5" t="s">
        <v>24</v>
      </c>
      <c r="I96" s="9" t="s">
        <v>39</v>
      </c>
      <c r="J96" s="9" t="s">
        <v>39</v>
      </c>
      <c r="K96" s="9" t="s">
        <v>39</v>
      </c>
      <c r="L96" s="9" t="s">
        <v>39</v>
      </c>
      <c r="M96" s="9" t="s">
        <v>25</v>
      </c>
      <c r="N96" s="9" t="s">
        <v>39</v>
      </c>
      <c r="O96" s="9" t="n">
        <v>0</v>
      </c>
      <c r="P96" s="9"/>
      <c r="Q96" s="9"/>
      <c r="R96" s="9"/>
      <c r="S96" s="9" t="n">
        <f aca="false">O96-P96-Q96-R96</f>
        <v>0</v>
      </c>
    </row>
    <row r="97" customFormat="false" ht="15" hidden="false" customHeight="false" outlineLevel="0" collapsed="false">
      <c r="A97" s="9" t="s">
        <v>215</v>
      </c>
      <c r="B97" s="4" t="s">
        <v>264</v>
      </c>
      <c r="C97" s="9" t="s">
        <v>217</v>
      </c>
      <c r="D97" s="10" t="s">
        <v>265</v>
      </c>
      <c r="E97" s="17" t="s">
        <v>70</v>
      </c>
      <c r="F97" s="14" t="n">
        <v>3499</v>
      </c>
      <c r="G97" s="15" t="n">
        <v>45414</v>
      </c>
      <c r="H97" s="5" t="s">
        <v>24</v>
      </c>
      <c r="I97" s="9" t="s">
        <v>39</v>
      </c>
      <c r="J97" s="9" t="s">
        <v>39</v>
      </c>
      <c r="K97" s="9" t="s">
        <v>39</v>
      </c>
      <c r="L97" s="9" t="s">
        <v>39</v>
      </c>
      <c r="M97" s="9" t="s">
        <v>25</v>
      </c>
      <c r="N97" s="9" t="s">
        <v>39</v>
      </c>
      <c r="O97" s="9" t="n">
        <v>0</v>
      </c>
      <c r="P97" s="9"/>
      <c r="Q97" s="9"/>
      <c r="R97" s="9"/>
      <c r="S97" s="9" t="n">
        <f aca="false">O97-P97-Q97-R97</f>
        <v>0</v>
      </c>
    </row>
    <row r="98" customFormat="false" ht="15" hidden="false" customHeight="false" outlineLevel="0" collapsed="false">
      <c r="A98" s="9" t="s">
        <v>215</v>
      </c>
      <c r="B98" s="4" t="s">
        <v>266</v>
      </c>
      <c r="C98" s="9" t="s">
        <v>217</v>
      </c>
      <c r="D98" s="6" t="s">
        <v>267</v>
      </c>
      <c r="E98" s="17" t="s">
        <v>70</v>
      </c>
      <c r="F98" s="14" t="n">
        <v>3269</v>
      </c>
      <c r="G98" s="15" t="n">
        <v>45414</v>
      </c>
      <c r="H98" s="5" t="s">
        <v>24</v>
      </c>
      <c r="I98" s="9" t="s">
        <v>39</v>
      </c>
      <c r="J98" s="9" t="s">
        <v>39</v>
      </c>
      <c r="K98" s="9" t="s">
        <v>39</v>
      </c>
      <c r="L98" s="9" t="s">
        <v>39</v>
      </c>
      <c r="M98" s="9" t="s">
        <v>25</v>
      </c>
      <c r="N98" s="9" t="s">
        <v>39</v>
      </c>
      <c r="O98" s="9" t="n">
        <v>1</v>
      </c>
      <c r="P98" s="9"/>
      <c r="Q98" s="9"/>
      <c r="R98" s="9"/>
      <c r="S98" s="9" t="n">
        <f aca="false">O98-P98-Q98-R98</f>
        <v>1</v>
      </c>
    </row>
    <row r="99" customFormat="false" ht="15" hidden="false" customHeight="false" outlineLevel="0" collapsed="false">
      <c r="A99" s="9" t="s">
        <v>215</v>
      </c>
      <c r="B99" s="4" t="s">
        <v>268</v>
      </c>
      <c r="C99" s="9" t="s">
        <v>217</v>
      </c>
      <c r="D99" s="6" t="s">
        <v>269</v>
      </c>
      <c r="E99" s="17" t="s">
        <v>117</v>
      </c>
      <c r="F99" s="14" t="n">
        <v>24999</v>
      </c>
      <c r="G99" s="15" t="n">
        <v>45411</v>
      </c>
      <c r="H99" s="5" t="s">
        <v>24</v>
      </c>
      <c r="I99" s="9" t="s">
        <v>39</v>
      </c>
      <c r="J99" s="9" t="s">
        <v>39</v>
      </c>
      <c r="K99" s="9" t="s">
        <v>39</v>
      </c>
      <c r="L99" s="9" t="s">
        <v>39</v>
      </c>
      <c r="M99" s="9" t="s">
        <v>25</v>
      </c>
      <c r="N99" s="9" t="s">
        <v>39</v>
      </c>
      <c r="O99" s="9" t="n">
        <v>1</v>
      </c>
      <c r="P99" s="9"/>
      <c r="Q99" s="9"/>
      <c r="R99" s="9"/>
      <c r="S99" s="9" t="n">
        <f aca="false">O99-P99-Q99-R99</f>
        <v>1</v>
      </c>
    </row>
    <row r="100" customFormat="false" ht="15" hidden="false" customHeight="false" outlineLevel="0" collapsed="false">
      <c r="A100" s="9" t="s">
        <v>215</v>
      </c>
      <c r="B100" s="4" t="s">
        <v>270</v>
      </c>
      <c r="C100" s="9" t="s">
        <v>217</v>
      </c>
      <c r="D100" s="6" t="s">
        <v>271</v>
      </c>
      <c r="E100" s="17" t="s">
        <v>117</v>
      </c>
      <c r="F100" s="14" t="n">
        <v>29999</v>
      </c>
      <c r="G100" s="15" t="n">
        <v>45411</v>
      </c>
      <c r="H100" s="5" t="s">
        <v>24</v>
      </c>
      <c r="I100" s="9" t="s">
        <v>39</v>
      </c>
      <c r="J100" s="9" t="s">
        <v>39</v>
      </c>
      <c r="K100" s="9" t="s">
        <v>39</v>
      </c>
      <c r="L100" s="9" t="s">
        <v>39</v>
      </c>
      <c r="M100" s="9" t="s">
        <v>25</v>
      </c>
      <c r="N100" s="9" t="s">
        <v>39</v>
      </c>
      <c r="O100" s="9" t="n">
        <v>0</v>
      </c>
      <c r="P100" s="9"/>
      <c r="Q100" s="9"/>
      <c r="R100" s="9"/>
      <c r="S100" s="9" t="n">
        <f aca="false">O100-P100-Q100-R100</f>
        <v>0</v>
      </c>
    </row>
    <row r="101" customFormat="false" ht="15" hidden="false" customHeight="false" outlineLevel="0" collapsed="false">
      <c r="A101" s="9" t="s">
        <v>215</v>
      </c>
      <c r="B101" s="4" t="s">
        <v>272</v>
      </c>
      <c r="C101" s="9" t="s">
        <v>217</v>
      </c>
      <c r="D101" s="6" t="s">
        <v>273</v>
      </c>
      <c r="E101" s="17" t="s">
        <v>117</v>
      </c>
      <c r="F101" s="14" t="n">
        <v>8999</v>
      </c>
      <c r="G101" s="15" t="n">
        <v>45390</v>
      </c>
      <c r="H101" s="5" t="s">
        <v>24</v>
      </c>
      <c r="I101" s="9" t="s">
        <v>25</v>
      </c>
      <c r="J101" s="9" t="s">
        <v>25</v>
      </c>
      <c r="K101" s="9" t="s">
        <v>25</v>
      </c>
      <c r="L101" s="9" t="s">
        <v>25</v>
      </c>
      <c r="M101" s="9" t="s">
        <v>25</v>
      </c>
      <c r="N101" s="9" t="n">
        <v>1</v>
      </c>
      <c r="O101" s="9" t="n">
        <v>0</v>
      </c>
      <c r="P101" s="9"/>
      <c r="Q101" s="9"/>
      <c r="R101" s="9"/>
      <c r="S101" s="9" t="n">
        <f aca="false">O101-P101-Q101-R101</f>
        <v>0</v>
      </c>
    </row>
    <row r="102" customFormat="false" ht="15" hidden="false" customHeight="false" outlineLevel="0" collapsed="false">
      <c r="A102" s="9" t="s">
        <v>215</v>
      </c>
      <c r="B102" s="4" t="s">
        <v>274</v>
      </c>
      <c r="C102" s="9" t="s">
        <v>217</v>
      </c>
      <c r="D102" s="6" t="s">
        <v>275</v>
      </c>
      <c r="E102" s="17" t="s">
        <v>70</v>
      </c>
      <c r="F102" s="14" t="n">
        <v>18500</v>
      </c>
      <c r="G102" s="15" t="n">
        <v>45382</v>
      </c>
      <c r="H102" s="5" t="s">
        <v>24</v>
      </c>
      <c r="I102" s="9" t="s">
        <v>39</v>
      </c>
      <c r="J102" s="9" t="s">
        <v>39</v>
      </c>
      <c r="K102" s="9" t="s">
        <v>39</v>
      </c>
      <c r="L102" s="9" t="s">
        <v>39</v>
      </c>
      <c r="M102" s="9" t="s">
        <v>25</v>
      </c>
      <c r="N102" s="9" t="s">
        <v>39</v>
      </c>
      <c r="O102" s="9" t="n">
        <v>0</v>
      </c>
      <c r="P102" s="9"/>
      <c r="Q102" s="9"/>
      <c r="R102" s="9"/>
      <c r="S102" s="9" t="n">
        <f aca="false">O102-P102-Q102-R102</f>
        <v>0</v>
      </c>
    </row>
    <row r="103" customFormat="false" ht="15" hidden="false" customHeight="false" outlineLevel="0" collapsed="false">
      <c r="A103" s="9" t="s">
        <v>215</v>
      </c>
      <c r="B103" s="4" t="s">
        <v>276</v>
      </c>
      <c r="C103" s="9" t="s">
        <v>217</v>
      </c>
      <c r="D103" s="6" t="s">
        <v>277</v>
      </c>
      <c r="E103" s="17" t="s">
        <v>70</v>
      </c>
      <c r="F103" s="14" t="n">
        <v>29500</v>
      </c>
      <c r="G103" s="15" t="n">
        <v>45411</v>
      </c>
      <c r="H103" s="5" t="s">
        <v>24</v>
      </c>
      <c r="I103" s="9" t="s">
        <v>39</v>
      </c>
      <c r="J103" s="9" t="s">
        <v>39</v>
      </c>
      <c r="K103" s="9" t="s">
        <v>39</v>
      </c>
      <c r="L103" s="9" t="s">
        <v>39</v>
      </c>
      <c r="M103" s="9" t="s">
        <v>25</v>
      </c>
      <c r="N103" s="9" t="s">
        <v>39</v>
      </c>
      <c r="O103" s="9" t="n">
        <v>1</v>
      </c>
      <c r="P103" s="9"/>
      <c r="Q103" s="9"/>
      <c r="R103" s="9"/>
      <c r="S103" s="9" t="n">
        <f aca="false">O103-P103-Q103-R103</f>
        <v>1</v>
      </c>
    </row>
    <row r="104" customFormat="false" ht="15" hidden="false" customHeight="false" outlineLevel="0" collapsed="false">
      <c r="A104" s="9" t="s">
        <v>215</v>
      </c>
      <c r="B104" s="4" t="s">
        <v>278</v>
      </c>
      <c r="C104" s="9" t="s">
        <v>217</v>
      </c>
      <c r="D104" s="6" t="s">
        <v>279</v>
      </c>
      <c r="E104" s="17" t="s">
        <v>70</v>
      </c>
      <c r="F104" s="14" t="n">
        <v>26450</v>
      </c>
      <c r="G104" s="15" t="n">
        <v>45411</v>
      </c>
      <c r="H104" s="5" t="s">
        <v>24</v>
      </c>
      <c r="I104" s="9" t="s">
        <v>39</v>
      </c>
      <c r="J104" s="9" t="s">
        <v>39</v>
      </c>
      <c r="K104" s="9" t="s">
        <v>39</v>
      </c>
      <c r="L104" s="9" t="s">
        <v>39</v>
      </c>
      <c r="M104" s="9" t="s">
        <v>25</v>
      </c>
      <c r="N104" s="9" t="s">
        <v>39</v>
      </c>
      <c r="O104" s="9" t="n">
        <v>1</v>
      </c>
      <c r="P104" s="9"/>
      <c r="Q104" s="9"/>
      <c r="R104" s="9"/>
      <c r="S104" s="9" t="n">
        <f aca="false">O104-P104-Q104-R104</f>
        <v>1</v>
      </c>
    </row>
    <row r="105" customFormat="false" ht="15" hidden="false" customHeight="false" outlineLevel="0" collapsed="false">
      <c r="A105" s="9" t="s">
        <v>215</v>
      </c>
      <c r="B105" s="4" t="s">
        <v>280</v>
      </c>
      <c r="C105" s="9" t="s">
        <v>281</v>
      </c>
      <c r="D105" s="6" t="s">
        <v>282</v>
      </c>
      <c r="E105" s="17" t="s">
        <v>283</v>
      </c>
      <c r="F105" s="14" t="n">
        <v>67820.5</v>
      </c>
      <c r="G105" s="15" t="n">
        <v>45382</v>
      </c>
      <c r="H105" s="5" t="s">
        <v>24</v>
      </c>
      <c r="I105" s="9" t="s">
        <v>67</v>
      </c>
      <c r="J105" s="9" t="s">
        <v>67</v>
      </c>
      <c r="K105" s="9" t="s">
        <v>25</v>
      </c>
      <c r="L105" s="9" t="s">
        <v>67</v>
      </c>
      <c r="M105" s="9" t="s">
        <v>25</v>
      </c>
      <c r="N105" s="9" t="s">
        <v>25</v>
      </c>
      <c r="O105" s="9" t="n">
        <v>0</v>
      </c>
      <c r="P105" s="9"/>
      <c r="Q105" s="9"/>
      <c r="R105" s="9"/>
      <c r="S105" s="9" t="n">
        <f aca="false">O105-P105-Q105-R105</f>
        <v>0</v>
      </c>
    </row>
    <row r="106" customFormat="false" ht="15" hidden="false" customHeight="false" outlineLevel="0" collapsed="false">
      <c r="A106" s="9" t="s">
        <v>215</v>
      </c>
      <c r="B106" s="4" t="s">
        <v>284</v>
      </c>
      <c r="C106" s="9" t="s">
        <v>281</v>
      </c>
      <c r="D106" s="6" t="s">
        <v>285</v>
      </c>
      <c r="E106" s="17" t="s">
        <v>283</v>
      </c>
      <c r="F106" s="14" t="n">
        <v>193800</v>
      </c>
      <c r="G106" s="15" t="n">
        <v>45382</v>
      </c>
      <c r="H106" s="5" t="s">
        <v>24</v>
      </c>
      <c r="I106" s="9" t="s">
        <v>67</v>
      </c>
      <c r="J106" s="9" t="s">
        <v>67</v>
      </c>
      <c r="K106" s="9" t="s">
        <v>25</v>
      </c>
      <c r="L106" s="9" t="s">
        <v>67</v>
      </c>
      <c r="M106" s="9" t="s">
        <v>25</v>
      </c>
      <c r="N106" s="9" t="s">
        <v>25</v>
      </c>
      <c r="O106" s="9" t="n">
        <v>0</v>
      </c>
      <c r="P106" s="9"/>
      <c r="Q106" s="9"/>
      <c r="R106" s="9"/>
      <c r="S106" s="9" t="n">
        <f aca="false">O106-P106-Q106-R106</f>
        <v>0</v>
      </c>
    </row>
    <row r="107" customFormat="false" ht="15" hidden="false" customHeight="false" outlineLevel="0" collapsed="false">
      <c r="A107" s="9" t="s">
        <v>215</v>
      </c>
      <c r="B107" s="4" t="s">
        <v>286</v>
      </c>
      <c r="C107" s="9" t="s">
        <v>287</v>
      </c>
      <c r="D107" s="6" t="s">
        <v>288</v>
      </c>
      <c r="E107" s="17" t="s">
        <v>70</v>
      </c>
      <c r="F107" s="14" t="n">
        <v>7320</v>
      </c>
      <c r="G107" s="15" t="n">
        <v>45419</v>
      </c>
      <c r="H107" s="5" t="s">
        <v>24</v>
      </c>
      <c r="I107" s="9" t="s">
        <v>67</v>
      </c>
      <c r="J107" s="9" t="s">
        <v>67</v>
      </c>
      <c r="K107" s="9" t="s">
        <v>25</v>
      </c>
      <c r="L107" s="9" t="s">
        <v>25</v>
      </c>
      <c r="M107" s="9" t="s">
        <v>25</v>
      </c>
      <c r="N107" s="9" t="s">
        <v>25</v>
      </c>
      <c r="O107" s="9" t="n">
        <v>1</v>
      </c>
      <c r="P107" s="9"/>
      <c r="Q107" s="9"/>
      <c r="R107" s="9"/>
      <c r="S107" s="9" t="n">
        <f aca="false">O107-P107-Q107-R107</f>
        <v>1</v>
      </c>
    </row>
    <row r="108" customFormat="false" ht="15" hidden="false" customHeight="false" outlineLevel="0" collapsed="false">
      <c r="A108" s="9" t="s">
        <v>289</v>
      </c>
      <c r="B108" s="4" t="s">
        <v>290</v>
      </c>
      <c r="C108" s="9" t="s">
        <v>291</v>
      </c>
      <c r="D108" s="6" t="s">
        <v>292</v>
      </c>
      <c r="E108" s="17" t="s">
        <v>293</v>
      </c>
      <c r="F108" s="14" t="n">
        <v>16949.9802</v>
      </c>
      <c r="G108" s="15" t="n">
        <v>45327</v>
      </c>
      <c r="H108" s="5" t="s">
        <v>24</v>
      </c>
      <c r="I108" s="9" t="s">
        <v>25</v>
      </c>
      <c r="J108" s="9" t="s">
        <v>25</v>
      </c>
      <c r="K108" s="9" t="s">
        <v>25</v>
      </c>
      <c r="L108" s="9" t="s">
        <v>67</v>
      </c>
      <c r="M108" s="9" t="s">
        <v>25</v>
      </c>
      <c r="N108" s="9" t="s">
        <v>25</v>
      </c>
      <c r="O108" s="9" t="n">
        <v>1</v>
      </c>
      <c r="P108" s="9"/>
      <c r="Q108" s="9"/>
      <c r="R108" s="9"/>
      <c r="S108" s="9" t="n">
        <f aca="false">O108-P108-Q108-R108</f>
        <v>1</v>
      </c>
    </row>
    <row r="109" customFormat="false" ht="15" hidden="false" customHeight="false" outlineLevel="0" collapsed="false">
      <c r="A109" s="9" t="s">
        <v>289</v>
      </c>
      <c r="B109" s="4" t="s">
        <v>294</v>
      </c>
      <c r="C109" s="9" t="s">
        <v>79</v>
      </c>
      <c r="D109" s="6" t="s">
        <v>295</v>
      </c>
      <c r="E109" s="17" t="s">
        <v>108</v>
      </c>
      <c r="F109" s="14" t="n">
        <v>1040</v>
      </c>
      <c r="G109" s="15" t="n">
        <v>45390</v>
      </c>
      <c r="H109" s="5" t="s">
        <v>24</v>
      </c>
      <c r="I109" s="9" t="s">
        <v>25</v>
      </c>
      <c r="J109" s="9" t="s">
        <v>25</v>
      </c>
      <c r="K109" s="9" t="s">
        <v>25</v>
      </c>
      <c r="L109" s="9" t="s">
        <v>25</v>
      </c>
      <c r="M109" s="9" t="s">
        <v>25</v>
      </c>
      <c r="N109" s="9" t="n">
        <v>1</v>
      </c>
      <c r="O109" s="9" t="n">
        <v>2</v>
      </c>
      <c r="P109" s="9" t="n">
        <v>2</v>
      </c>
      <c r="Q109" s="9"/>
      <c r="R109" s="9"/>
      <c r="S109" s="9" t="n">
        <f aca="false">O109-P109-Q109-R109</f>
        <v>0</v>
      </c>
    </row>
    <row r="110" customFormat="false" ht="15" hidden="false" customHeight="false" outlineLevel="0" collapsed="false">
      <c r="A110" s="9" t="s">
        <v>289</v>
      </c>
      <c r="B110" s="4" t="s">
        <v>296</v>
      </c>
      <c r="C110" s="9" t="s">
        <v>297</v>
      </c>
      <c r="D110" s="6" t="s">
        <v>298</v>
      </c>
      <c r="E110" s="17" t="s">
        <v>299</v>
      </c>
      <c r="F110" s="14" t="n">
        <v>228925.41</v>
      </c>
      <c r="G110" s="15" t="n">
        <v>44984</v>
      </c>
      <c r="H110" s="5" t="s">
        <v>24</v>
      </c>
      <c r="I110" s="9" t="s">
        <v>25</v>
      </c>
      <c r="J110" s="9" t="s">
        <v>25</v>
      </c>
      <c r="K110" s="9" t="s">
        <v>67</v>
      </c>
      <c r="L110" s="9" t="s">
        <v>25</v>
      </c>
      <c r="M110" s="9" t="s">
        <v>25</v>
      </c>
      <c r="N110" s="9" t="s">
        <v>25</v>
      </c>
      <c r="O110" s="9" t="n">
        <v>1</v>
      </c>
      <c r="P110" s="9"/>
      <c r="Q110" s="9"/>
      <c r="R110" s="9"/>
      <c r="S110" s="9" t="n">
        <f aca="false">O110-P110-Q110-R110</f>
        <v>1</v>
      </c>
    </row>
    <row r="111" customFormat="false" ht="15" hidden="false" customHeight="false" outlineLevel="0" collapsed="false">
      <c r="A111" s="9" t="s">
        <v>289</v>
      </c>
      <c r="B111" s="4" t="s">
        <v>300</v>
      </c>
      <c r="C111" s="9" t="s">
        <v>301</v>
      </c>
      <c r="D111" s="6" t="s">
        <v>302</v>
      </c>
      <c r="E111" s="17" t="s">
        <v>70</v>
      </c>
      <c r="F111" s="14" t="n">
        <v>12999</v>
      </c>
      <c r="G111" s="15" t="n">
        <v>45390</v>
      </c>
      <c r="H111" s="5" t="s">
        <v>24</v>
      </c>
      <c r="I111" s="9" t="s">
        <v>25</v>
      </c>
      <c r="J111" s="9" t="s">
        <v>25</v>
      </c>
      <c r="K111" s="9" t="s">
        <v>25</v>
      </c>
      <c r="L111" s="9" t="s">
        <v>25</v>
      </c>
      <c r="M111" s="9" t="s">
        <v>25</v>
      </c>
      <c r="N111" s="9" t="n">
        <v>1</v>
      </c>
      <c r="O111" s="9" t="n">
        <v>2</v>
      </c>
      <c r="P111" s="9"/>
      <c r="Q111" s="9"/>
      <c r="R111" s="9"/>
      <c r="S111" s="9" t="n">
        <f aca="false">O111-P111-Q111-R111</f>
        <v>2</v>
      </c>
    </row>
    <row r="112" customFormat="false" ht="15" hidden="false" customHeight="false" outlineLevel="0" collapsed="false">
      <c r="A112" s="9" t="s">
        <v>289</v>
      </c>
      <c r="B112" s="4" t="s">
        <v>303</v>
      </c>
      <c r="C112" s="9" t="s">
        <v>301</v>
      </c>
      <c r="D112" s="6" t="s">
        <v>304</v>
      </c>
      <c r="E112" s="17" t="s">
        <v>108</v>
      </c>
      <c r="F112" s="14" t="n">
        <v>44547.8</v>
      </c>
      <c r="G112" s="15" t="n">
        <v>45382</v>
      </c>
      <c r="H112" s="5" t="s">
        <v>24</v>
      </c>
      <c r="I112" s="9" t="s">
        <v>25</v>
      </c>
      <c r="J112" s="9" t="s">
        <v>25</v>
      </c>
      <c r="K112" s="9" t="s">
        <v>25</v>
      </c>
      <c r="L112" s="9" t="s">
        <v>25</v>
      </c>
      <c r="M112" s="9" t="s">
        <v>25</v>
      </c>
      <c r="N112" s="9" t="n">
        <v>8</v>
      </c>
      <c r="O112" s="9" t="n">
        <v>8</v>
      </c>
      <c r="P112" s="9"/>
      <c r="Q112" s="9"/>
      <c r="R112" s="9"/>
      <c r="S112" s="9" t="n">
        <f aca="false">O112-P112-Q112-R112</f>
        <v>8</v>
      </c>
    </row>
    <row r="113" customFormat="false" ht="15" hidden="false" customHeight="false" outlineLevel="0" collapsed="false">
      <c r="A113" s="9" t="s">
        <v>289</v>
      </c>
      <c r="B113" s="4" t="s">
        <v>305</v>
      </c>
      <c r="C113" s="9" t="s">
        <v>301</v>
      </c>
      <c r="D113" s="6" t="s">
        <v>306</v>
      </c>
      <c r="E113" s="17" t="s">
        <v>108</v>
      </c>
      <c r="F113" s="14" t="n">
        <f aca="false">5442.16+5442.16</f>
        <v>10884.32</v>
      </c>
      <c r="G113" s="15" t="n">
        <v>45382</v>
      </c>
      <c r="H113" s="5" t="s">
        <v>24</v>
      </c>
      <c r="I113" s="9" t="s">
        <v>25</v>
      </c>
      <c r="J113" s="9" t="s">
        <v>25</v>
      </c>
      <c r="K113" s="9" t="s">
        <v>25</v>
      </c>
      <c r="L113" s="9" t="s">
        <v>25</v>
      </c>
      <c r="M113" s="9" t="s">
        <v>25</v>
      </c>
      <c r="N113" s="9" t="n">
        <v>8</v>
      </c>
      <c r="O113" s="9" t="n">
        <v>8</v>
      </c>
      <c r="P113" s="9"/>
      <c r="Q113" s="9"/>
      <c r="R113" s="9"/>
      <c r="S113" s="9" t="n">
        <f aca="false">O113-P113-Q113-R113</f>
        <v>8</v>
      </c>
    </row>
    <row r="114" customFormat="false" ht="15" hidden="false" customHeight="false" outlineLevel="0" collapsed="false">
      <c r="A114" s="9" t="s">
        <v>289</v>
      </c>
      <c r="B114" s="4" t="s">
        <v>307</v>
      </c>
      <c r="C114" s="9" t="s">
        <v>301</v>
      </c>
      <c r="D114" s="6" t="s">
        <v>308</v>
      </c>
      <c r="E114" s="17" t="s">
        <v>309</v>
      </c>
      <c r="F114" s="14" t="n">
        <v>18115.2</v>
      </c>
      <c r="G114" s="15" t="n">
        <v>45382</v>
      </c>
      <c r="H114" s="5" t="s">
        <v>24</v>
      </c>
      <c r="I114" s="9" t="s">
        <v>25</v>
      </c>
      <c r="J114" s="9" t="s">
        <v>25</v>
      </c>
      <c r="K114" s="9" t="s">
        <v>25</v>
      </c>
      <c r="L114" s="9" t="s">
        <v>25</v>
      </c>
      <c r="M114" s="9" t="s">
        <v>25</v>
      </c>
      <c r="N114" s="9" t="n">
        <v>8</v>
      </c>
      <c r="O114" s="9" t="n">
        <v>8</v>
      </c>
      <c r="P114" s="9"/>
      <c r="Q114" s="9"/>
      <c r="R114" s="9"/>
      <c r="S114" s="9" t="n">
        <f aca="false">O114-P114-Q114-R114</f>
        <v>8</v>
      </c>
    </row>
    <row r="115" customFormat="false" ht="15" hidden="false" customHeight="false" outlineLevel="0" collapsed="false">
      <c r="A115" s="9" t="s">
        <v>289</v>
      </c>
      <c r="B115" s="4" t="s">
        <v>310</v>
      </c>
      <c r="C115" s="9" t="s">
        <v>301</v>
      </c>
      <c r="D115" s="6" t="s">
        <v>311</v>
      </c>
      <c r="E115" s="17" t="s">
        <v>70</v>
      </c>
      <c r="F115" s="14" t="n">
        <v>43326</v>
      </c>
      <c r="G115" s="15" t="n">
        <v>45378</v>
      </c>
      <c r="H115" s="5" t="s">
        <v>24</v>
      </c>
      <c r="I115" s="9" t="s">
        <v>25</v>
      </c>
      <c r="J115" s="9" t="s">
        <v>25</v>
      </c>
      <c r="K115" s="9" t="s">
        <v>25</v>
      </c>
      <c r="L115" s="9" t="s">
        <v>25</v>
      </c>
      <c r="M115" s="9" t="s">
        <v>25</v>
      </c>
      <c r="N115" s="9" t="n">
        <v>1</v>
      </c>
      <c r="O115" s="9" t="n">
        <v>0</v>
      </c>
      <c r="P115" s="9"/>
      <c r="Q115" s="9"/>
      <c r="R115" s="9"/>
      <c r="S115" s="9" t="n">
        <f aca="false">O115-P115-Q115-R115</f>
        <v>0</v>
      </c>
    </row>
    <row r="116" customFormat="false" ht="15" hidden="false" customHeight="false" outlineLevel="0" collapsed="false">
      <c r="A116" s="9" t="s">
        <v>289</v>
      </c>
      <c r="B116" s="4" t="s">
        <v>312</v>
      </c>
      <c r="C116" s="9" t="s">
        <v>79</v>
      </c>
      <c r="D116" s="6" t="s">
        <v>313</v>
      </c>
      <c r="E116" s="17" t="s">
        <v>117</v>
      </c>
      <c r="F116" s="14" t="n">
        <v>8999</v>
      </c>
      <c r="G116" s="15" t="n">
        <v>45390</v>
      </c>
      <c r="H116" s="5" t="s">
        <v>24</v>
      </c>
      <c r="I116" s="9" t="s">
        <v>25</v>
      </c>
      <c r="J116" s="9" t="s">
        <v>25</v>
      </c>
      <c r="K116" s="9" t="s">
        <v>25</v>
      </c>
      <c r="L116" s="9" t="s">
        <v>25</v>
      </c>
      <c r="M116" s="9" t="s">
        <v>25</v>
      </c>
      <c r="N116" s="9" t="n">
        <v>1</v>
      </c>
      <c r="O116" s="9" t="n">
        <v>3</v>
      </c>
      <c r="P116" s="9"/>
      <c r="Q116" s="9"/>
      <c r="R116" s="9"/>
      <c r="S116" s="9" t="n">
        <f aca="false">O116-P116-Q116-R116</f>
        <v>3</v>
      </c>
    </row>
    <row r="117" customFormat="false" ht="15" hidden="false" customHeight="false" outlineLevel="0" collapsed="false">
      <c r="A117" s="9" t="s">
        <v>289</v>
      </c>
      <c r="B117" s="4" t="s">
        <v>314</v>
      </c>
      <c r="C117" s="9" t="s">
        <v>315</v>
      </c>
      <c r="D117" s="10" t="s">
        <v>316</v>
      </c>
      <c r="E117" s="24" t="s">
        <v>317</v>
      </c>
      <c r="F117" s="14" t="n">
        <v>45578</v>
      </c>
      <c r="G117" s="15" t="n">
        <v>45382</v>
      </c>
      <c r="H117" s="5" t="s">
        <v>24</v>
      </c>
      <c r="I117" s="9" t="s">
        <v>25</v>
      </c>
      <c r="J117" s="9" t="s">
        <v>25</v>
      </c>
      <c r="K117" s="9" t="s">
        <v>25</v>
      </c>
      <c r="L117" s="9" t="s">
        <v>25</v>
      </c>
      <c r="M117" s="9" t="n">
        <v>1</v>
      </c>
      <c r="N117" s="9" t="s">
        <v>25</v>
      </c>
      <c r="O117" s="9" t="n">
        <v>1</v>
      </c>
      <c r="P117" s="9"/>
      <c r="Q117" s="9"/>
      <c r="R117" s="9"/>
      <c r="S117" s="9" t="n">
        <f aca="false">O117-P117-Q117-R117</f>
        <v>1</v>
      </c>
    </row>
    <row r="118" customFormat="false" ht="15" hidden="false" customHeight="false" outlineLevel="0" collapsed="false">
      <c r="A118" s="9" t="s">
        <v>289</v>
      </c>
      <c r="B118" s="4" t="s">
        <v>318</v>
      </c>
      <c r="C118" s="9" t="s">
        <v>319</v>
      </c>
      <c r="D118" s="6" t="s">
        <v>320</v>
      </c>
      <c r="E118" s="17" t="s">
        <v>321</v>
      </c>
      <c r="F118" s="14" t="n">
        <v>10334973.8127</v>
      </c>
      <c r="G118" s="15" t="n">
        <v>45384</v>
      </c>
      <c r="H118" s="5" t="s">
        <v>24</v>
      </c>
      <c r="I118" s="9" t="s">
        <v>25</v>
      </c>
      <c r="J118" s="9" t="s">
        <v>25</v>
      </c>
      <c r="K118" s="9" t="s">
        <v>25</v>
      </c>
      <c r="L118" s="9" t="s">
        <v>67</v>
      </c>
      <c r="M118" s="9" t="s">
        <v>25</v>
      </c>
      <c r="N118" s="9" t="s">
        <v>25</v>
      </c>
      <c r="O118" s="9" t="n">
        <v>0</v>
      </c>
      <c r="P118" s="9"/>
      <c r="Q118" s="9"/>
      <c r="R118" s="9"/>
      <c r="S118" s="9" t="n">
        <f aca="false">O118-P118-Q118-R118</f>
        <v>0</v>
      </c>
    </row>
    <row r="119" customFormat="false" ht="15" hidden="false" customHeight="false" outlineLevel="0" collapsed="false">
      <c r="A119" s="9" t="s">
        <v>289</v>
      </c>
      <c r="B119" s="4" t="s">
        <v>322</v>
      </c>
      <c r="C119" s="9" t="s">
        <v>319</v>
      </c>
      <c r="D119" s="20" t="s">
        <v>323</v>
      </c>
      <c r="E119" s="17" t="s">
        <v>254</v>
      </c>
      <c r="F119" s="14" t="n">
        <v>20894.49</v>
      </c>
      <c r="G119" s="15" t="n">
        <v>45414</v>
      </c>
      <c r="H119" s="5" t="s">
        <v>24</v>
      </c>
      <c r="I119" s="9" t="s">
        <v>67</v>
      </c>
      <c r="J119" s="9" t="s">
        <v>67</v>
      </c>
      <c r="K119" s="9" t="s">
        <v>25</v>
      </c>
      <c r="L119" s="9" t="s">
        <v>25</v>
      </c>
      <c r="M119" s="9" t="n">
        <v>1</v>
      </c>
      <c r="N119" s="9" t="s">
        <v>25</v>
      </c>
      <c r="O119" s="9" t="n">
        <v>1</v>
      </c>
      <c r="P119" s="9"/>
      <c r="Q119" s="9"/>
      <c r="R119" s="9"/>
      <c r="S119" s="9" t="n">
        <f aca="false">O119-P119-Q119-R119</f>
        <v>1</v>
      </c>
    </row>
    <row r="120" customFormat="false" ht="15" hidden="false" customHeight="false" outlineLevel="0" collapsed="false">
      <c r="A120" s="9" t="s">
        <v>289</v>
      </c>
      <c r="B120" s="4" t="s">
        <v>324</v>
      </c>
      <c r="C120" s="9" t="s">
        <v>319</v>
      </c>
      <c r="D120" s="20" t="s">
        <v>325</v>
      </c>
      <c r="E120" s="17" t="s">
        <v>326</v>
      </c>
      <c r="F120" s="14" t="n">
        <v>142762.73</v>
      </c>
      <c r="G120" s="15" t="n">
        <v>44958</v>
      </c>
      <c r="H120" s="5" t="s">
        <v>24</v>
      </c>
      <c r="I120" s="9" t="s">
        <v>25</v>
      </c>
      <c r="J120" s="9" t="s">
        <v>25</v>
      </c>
      <c r="K120" s="9" t="s">
        <v>67</v>
      </c>
      <c r="L120" s="9" t="s">
        <v>25</v>
      </c>
      <c r="M120" s="9" t="s">
        <v>25</v>
      </c>
      <c r="N120" s="9" t="s">
        <v>25</v>
      </c>
      <c r="O120" s="9" t="n">
        <v>1</v>
      </c>
      <c r="P120" s="9"/>
      <c r="Q120" s="9"/>
      <c r="R120" s="9"/>
      <c r="S120" s="9" t="n">
        <f aca="false">O120-P120-Q120-R120</f>
        <v>1</v>
      </c>
    </row>
    <row r="121" customFormat="false" ht="15" hidden="false" customHeight="false" outlineLevel="0" collapsed="false">
      <c r="A121" s="9" t="s">
        <v>289</v>
      </c>
      <c r="B121" s="4" t="s">
        <v>327</v>
      </c>
      <c r="C121" s="9" t="s">
        <v>319</v>
      </c>
      <c r="D121" s="20" t="s">
        <v>328</v>
      </c>
      <c r="E121" s="17" t="s">
        <v>70</v>
      </c>
      <c r="F121" s="14" t="n">
        <v>4999</v>
      </c>
      <c r="G121" s="15" t="n">
        <v>44958</v>
      </c>
      <c r="H121" s="5" t="s">
        <v>24</v>
      </c>
      <c r="I121" s="9" t="s">
        <v>25</v>
      </c>
      <c r="J121" s="9" t="s">
        <v>25</v>
      </c>
      <c r="K121" s="9" t="s">
        <v>25</v>
      </c>
      <c r="L121" s="9" t="s">
        <v>25</v>
      </c>
      <c r="M121" s="9" t="n">
        <v>1</v>
      </c>
      <c r="N121" s="9" t="s">
        <v>25</v>
      </c>
      <c r="O121" s="9" t="n">
        <v>1</v>
      </c>
      <c r="P121" s="9"/>
      <c r="Q121" s="9"/>
      <c r="R121" s="9"/>
      <c r="S121" s="9" t="n">
        <f aca="false">O121-P121-Q121-R121</f>
        <v>1</v>
      </c>
    </row>
    <row r="122" customFormat="false" ht="15" hidden="false" customHeight="false" outlineLevel="0" collapsed="false">
      <c r="A122" s="9" t="s">
        <v>289</v>
      </c>
      <c r="B122" s="4" t="s">
        <v>329</v>
      </c>
      <c r="C122" s="9" t="s">
        <v>319</v>
      </c>
      <c r="D122" s="6" t="s">
        <v>330</v>
      </c>
      <c r="E122" s="17" t="s">
        <v>321</v>
      </c>
      <c r="F122" s="14" t="n">
        <v>3236617.8777</v>
      </c>
      <c r="G122" s="15" t="n">
        <v>45384</v>
      </c>
      <c r="H122" s="5" t="s">
        <v>24</v>
      </c>
      <c r="I122" s="9" t="s">
        <v>25</v>
      </c>
      <c r="J122" s="9" t="s">
        <v>25</v>
      </c>
      <c r="K122" s="9" t="s">
        <v>25</v>
      </c>
      <c r="L122" s="9" t="s">
        <v>67</v>
      </c>
      <c r="M122" s="9" t="s">
        <v>25</v>
      </c>
      <c r="N122" s="9" t="s">
        <v>25</v>
      </c>
      <c r="O122" s="9" t="n">
        <v>0</v>
      </c>
      <c r="P122" s="9"/>
      <c r="Q122" s="9"/>
      <c r="R122" s="9"/>
      <c r="S122" s="9" t="n">
        <f aca="false">O122-P122-Q122-R122</f>
        <v>0</v>
      </c>
    </row>
    <row r="123" customFormat="false" ht="15" hidden="false" customHeight="false" outlineLevel="0" collapsed="false">
      <c r="A123" s="9" t="s">
        <v>289</v>
      </c>
      <c r="B123" s="4" t="s">
        <v>331</v>
      </c>
      <c r="C123" s="9" t="s">
        <v>319</v>
      </c>
      <c r="D123" s="6" t="s">
        <v>332</v>
      </c>
      <c r="E123" s="17" t="s">
        <v>321</v>
      </c>
      <c r="F123" s="14" t="n">
        <v>2591312.7927</v>
      </c>
      <c r="G123" s="15" t="n">
        <v>45384</v>
      </c>
      <c r="H123" s="5" t="s">
        <v>24</v>
      </c>
      <c r="I123" s="9" t="s">
        <v>25</v>
      </c>
      <c r="J123" s="9" t="s">
        <v>25</v>
      </c>
      <c r="K123" s="9" t="s">
        <v>25</v>
      </c>
      <c r="L123" s="9" t="s">
        <v>67</v>
      </c>
      <c r="M123" s="9" t="s">
        <v>25</v>
      </c>
      <c r="N123" s="9" t="s">
        <v>25</v>
      </c>
      <c r="O123" s="9" t="n">
        <v>0</v>
      </c>
      <c r="P123" s="9"/>
      <c r="Q123" s="9"/>
      <c r="R123" s="9"/>
      <c r="S123" s="9" t="n">
        <f aca="false">O123-P123-Q123-R123</f>
        <v>0</v>
      </c>
    </row>
    <row r="124" customFormat="false" ht="15" hidden="false" customHeight="false" outlineLevel="0" collapsed="false">
      <c r="A124" s="9" t="s">
        <v>289</v>
      </c>
      <c r="B124" s="4" t="s">
        <v>333</v>
      </c>
      <c r="C124" s="9" t="s">
        <v>319</v>
      </c>
      <c r="D124" s="6" t="s">
        <v>334</v>
      </c>
      <c r="E124" s="17" t="s">
        <v>321</v>
      </c>
      <c r="F124" s="14" t="n">
        <v>2075068.7247</v>
      </c>
      <c r="G124" s="15" t="n">
        <v>45384</v>
      </c>
      <c r="H124" s="5" t="s">
        <v>24</v>
      </c>
      <c r="I124" s="9" t="s">
        <v>25</v>
      </c>
      <c r="J124" s="9" t="s">
        <v>25</v>
      </c>
      <c r="K124" s="9" t="s">
        <v>25</v>
      </c>
      <c r="L124" s="9" t="n">
        <v>1</v>
      </c>
      <c r="M124" s="9" t="s">
        <v>25</v>
      </c>
      <c r="N124" s="9" t="s">
        <v>25</v>
      </c>
      <c r="O124" s="9" t="n">
        <v>2</v>
      </c>
      <c r="P124" s="9"/>
      <c r="Q124" s="9"/>
      <c r="R124" s="9"/>
      <c r="S124" s="9" t="n">
        <f aca="false">O124-P124-Q124-R124</f>
        <v>2</v>
      </c>
    </row>
    <row r="125" customFormat="false" ht="15" hidden="false" customHeight="false" outlineLevel="0" collapsed="false">
      <c r="A125" s="9" t="s">
        <v>289</v>
      </c>
      <c r="B125" s="4" t="s">
        <v>335</v>
      </c>
      <c r="C125" s="9" t="s">
        <v>319</v>
      </c>
      <c r="D125" s="6" t="s">
        <v>336</v>
      </c>
      <c r="E125" s="17" t="s">
        <v>321</v>
      </c>
      <c r="F125" s="14" t="n">
        <v>1946007.7077</v>
      </c>
      <c r="G125" s="15" t="n">
        <v>45384</v>
      </c>
      <c r="H125" s="5" t="s">
        <v>24</v>
      </c>
      <c r="I125" s="9" t="s">
        <v>25</v>
      </c>
      <c r="J125" s="9" t="s">
        <v>25</v>
      </c>
      <c r="K125" s="9" t="s">
        <v>25</v>
      </c>
      <c r="L125" s="9" t="s">
        <v>67</v>
      </c>
      <c r="M125" s="9" t="s">
        <v>25</v>
      </c>
      <c r="N125" s="9" t="s">
        <v>25</v>
      </c>
      <c r="O125" s="9" t="n">
        <v>0</v>
      </c>
      <c r="P125" s="9"/>
      <c r="Q125" s="9"/>
      <c r="R125" s="9"/>
      <c r="S125" s="9" t="n">
        <f aca="false">O125-P125-Q125-R125</f>
        <v>0</v>
      </c>
    </row>
    <row r="126" customFormat="false" ht="15" hidden="false" customHeight="false" outlineLevel="0" collapsed="false">
      <c r="A126" s="9" t="s">
        <v>289</v>
      </c>
      <c r="B126" s="4" t="s">
        <v>337</v>
      </c>
      <c r="C126" s="9" t="s">
        <v>319</v>
      </c>
      <c r="D126" s="6" t="s">
        <v>338</v>
      </c>
      <c r="E126" s="17" t="s">
        <v>321</v>
      </c>
      <c r="F126" s="14" t="n">
        <v>1558824.6567</v>
      </c>
      <c r="G126" s="15" t="n">
        <v>45384</v>
      </c>
      <c r="H126" s="5" t="s">
        <v>24</v>
      </c>
      <c r="I126" s="9" t="s">
        <v>25</v>
      </c>
      <c r="J126" s="9" t="s">
        <v>25</v>
      </c>
      <c r="K126" s="9" t="s">
        <v>25</v>
      </c>
      <c r="L126" s="9" t="s">
        <v>67</v>
      </c>
      <c r="M126" s="9" t="s">
        <v>25</v>
      </c>
      <c r="N126" s="9" t="s">
        <v>25</v>
      </c>
      <c r="O126" s="9" t="n">
        <v>0</v>
      </c>
      <c r="P126" s="9"/>
      <c r="Q126" s="9"/>
      <c r="R126" s="9"/>
      <c r="S126" s="9" t="n">
        <f aca="false">O126-P126-Q126-R126</f>
        <v>0</v>
      </c>
    </row>
    <row r="127" customFormat="false" ht="15" hidden="false" customHeight="false" outlineLevel="0" collapsed="false">
      <c r="A127" s="9" t="s">
        <v>289</v>
      </c>
      <c r="B127" s="4" t="s">
        <v>339</v>
      </c>
      <c r="C127" s="9" t="s">
        <v>319</v>
      </c>
      <c r="D127" s="6" t="s">
        <v>340</v>
      </c>
      <c r="E127" s="17" t="s">
        <v>321</v>
      </c>
      <c r="F127" s="14" t="n">
        <v>1300702.6227</v>
      </c>
      <c r="G127" s="15" t="n">
        <v>45384</v>
      </c>
      <c r="H127" s="5" t="s">
        <v>24</v>
      </c>
      <c r="I127" s="9" t="s">
        <v>25</v>
      </c>
      <c r="J127" s="9" t="s">
        <v>25</v>
      </c>
      <c r="K127" s="9" t="s">
        <v>25</v>
      </c>
      <c r="L127" s="9" t="s">
        <v>67</v>
      </c>
      <c r="M127" s="9" t="s">
        <v>25</v>
      </c>
      <c r="N127" s="9" t="s">
        <v>25</v>
      </c>
      <c r="O127" s="9" t="n">
        <v>0</v>
      </c>
      <c r="P127" s="9"/>
      <c r="Q127" s="9"/>
      <c r="R127" s="9"/>
      <c r="S127" s="9" t="n">
        <f aca="false">O127-P127-Q127-R127</f>
        <v>0</v>
      </c>
    </row>
    <row r="128" customFormat="false" ht="15" hidden="false" customHeight="false" outlineLevel="0" collapsed="false">
      <c r="A128" s="9" t="s">
        <v>289</v>
      </c>
      <c r="B128" s="4" t="s">
        <v>341</v>
      </c>
      <c r="C128" s="9" t="s">
        <v>319</v>
      </c>
      <c r="D128" s="6" t="s">
        <v>342</v>
      </c>
      <c r="E128" s="17" t="s">
        <v>321</v>
      </c>
      <c r="F128" s="14" t="n">
        <v>1074845.8365</v>
      </c>
      <c r="G128" s="15" t="n">
        <v>45384</v>
      </c>
      <c r="H128" s="5" t="s">
        <v>24</v>
      </c>
      <c r="I128" s="9" t="s">
        <v>25</v>
      </c>
      <c r="J128" s="9" t="s">
        <v>25</v>
      </c>
      <c r="K128" s="9" t="s">
        <v>25</v>
      </c>
      <c r="L128" s="9" t="s">
        <v>67</v>
      </c>
      <c r="M128" s="9" t="s">
        <v>25</v>
      </c>
      <c r="N128" s="9" t="s">
        <v>25</v>
      </c>
      <c r="O128" s="9" t="n">
        <v>0</v>
      </c>
      <c r="P128" s="9"/>
      <c r="Q128" s="9"/>
      <c r="R128" s="9"/>
      <c r="S128" s="9" t="n">
        <f aca="false">O128-P128-Q128-R128</f>
        <v>0</v>
      </c>
    </row>
    <row r="129" customFormat="false" ht="15" hidden="false" customHeight="false" outlineLevel="0" collapsed="false">
      <c r="A129" s="9" t="s">
        <v>289</v>
      </c>
      <c r="B129" s="4" t="s">
        <v>343</v>
      </c>
      <c r="C129" s="9" t="s">
        <v>319</v>
      </c>
      <c r="D129" s="6" t="s">
        <v>344</v>
      </c>
      <c r="E129" s="17" t="s">
        <v>321</v>
      </c>
      <c r="F129" s="14" t="n">
        <v>896626.75</v>
      </c>
      <c r="G129" s="15" t="n">
        <v>45384</v>
      </c>
      <c r="H129" s="5" t="s">
        <v>24</v>
      </c>
      <c r="I129" s="9" t="s">
        <v>25</v>
      </c>
      <c r="J129" s="9" t="s">
        <v>25</v>
      </c>
      <c r="K129" s="9" t="s">
        <v>25</v>
      </c>
      <c r="L129" s="9" t="s">
        <v>67</v>
      </c>
      <c r="M129" s="9" t="s">
        <v>25</v>
      </c>
      <c r="N129" s="9" t="s">
        <v>25</v>
      </c>
      <c r="O129" s="9" t="n">
        <v>0</v>
      </c>
      <c r="P129" s="9"/>
      <c r="Q129" s="9"/>
      <c r="R129" s="9"/>
      <c r="S129" s="9" t="n">
        <f aca="false">O129-P129-Q129-R129</f>
        <v>0</v>
      </c>
    </row>
    <row r="130" customFormat="false" ht="15" hidden="false" customHeight="false" outlineLevel="0" collapsed="false">
      <c r="A130" s="9" t="s">
        <v>289</v>
      </c>
      <c r="B130" s="4" t="s">
        <v>345</v>
      </c>
      <c r="C130" s="9" t="s">
        <v>319</v>
      </c>
      <c r="D130" s="6" t="s">
        <v>346</v>
      </c>
      <c r="E130" s="17" t="s">
        <v>321</v>
      </c>
      <c r="F130" s="14" t="n">
        <v>1031825.4975</v>
      </c>
      <c r="G130" s="15" t="n">
        <v>45384</v>
      </c>
      <c r="H130" s="5" t="s">
        <v>24</v>
      </c>
      <c r="I130" s="9" t="s">
        <v>25</v>
      </c>
      <c r="J130" s="9" t="s">
        <v>25</v>
      </c>
      <c r="K130" s="9" t="s">
        <v>25</v>
      </c>
      <c r="L130" s="9" t="s">
        <v>67</v>
      </c>
      <c r="M130" s="9" t="s">
        <v>25</v>
      </c>
      <c r="N130" s="9" t="s">
        <v>25</v>
      </c>
      <c r="O130" s="9" t="n">
        <v>0</v>
      </c>
      <c r="P130" s="9"/>
      <c r="Q130" s="9"/>
      <c r="R130" s="9"/>
      <c r="S130" s="9" t="n">
        <f aca="false">O130-P130-Q130-R130</f>
        <v>0</v>
      </c>
    </row>
    <row r="131" customFormat="false" ht="15" hidden="false" customHeight="false" outlineLevel="0" collapsed="false">
      <c r="A131" s="9" t="s">
        <v>289</v>
      </c>
      <c r="B131" s="4" t="s">
        <v>347</v>
      </c>
      <c r="C131" s="9" t="s">
        <v>319</v>
      </c>
      <c r="D131" s="6" t="s">
        <v>348</v>
      </c>
      <c r="E131" s="17" t="s">
        <v>321</v>
      </c>
      <c r="F131" s="14" t="n">
        <v>866024.65</v>
      </c>
      <c r="G131" s="15" t="n">
        <v>45384</v>
      </c>
      <c r="H131" s="5" t="s">
        <v>24</v>
      </c>
      <c r="I131" s="9" t="s">
        <v>25</v>
      </c>
      <c r="J131" s="9" t="s">
        <v>25</v>
      </c>
      <c r="K131" s="9" t="s">
        <v>25</v>
      </c>
      <c r="L131" s="9" t="s">
        <v>67</v>
      </c>
      <c r="M131" s="9" t="s">
        <v>25</v>
      </c>
      <c r="N131" s="9" t="s">
        <v>25</v>
      </c>
      <c r="O131" s="9" t="n">
        <v>0</v>
      </c>
      <c r="P131" s="9"/>
      <c r="Q131" s="9"/>
      <c r="R131" s="9"/>
      <c r="S131" s="9" t="n">
        <f aca="false">O131-P131-Q131-R131</f>
        <v>0</v>
      </c>
    </row>
    <row r="132" customFormat="false" ht="15" hidden="false" customHeight="false" outlineLevel="0" collapsed="false">
      <c r="A132" s="9" t="s">
        <v>289</v>
      </c>
      <c r="B132" s="4" t="s">
        <v>349</v>
      </c>
      <c r="C132" s="9" t="s">
        <v>319</v>
      </c>
      <c r="D132" s="6" t="s">
        <v>350</v>
      </c>
      <c r="E132" s="17" t="s">
        <v>321</v>
      </c>
      <c r="F132" s="14" t="n">
        <v>956539.9107</v>
      </c>
      <c r="G132" s="15" t="n">
        <v>45384</v>
      </c>
      <c r="H132" s="5" t="s">
        <v>24</v>
      </c>
      <c r="I132" s="9" t="s">
        <v>25</v>
      </c>
      <c r="J132" s="9" t="s">
        <v>25</v>
      </c>
      <c r="K132" s="9" t="s">
        <v>25</v>
      </c>
      <c r="L132" s="9" t="s">
        <v>67</v>
      </c>
      <c r="M132" s="9" t="s">
        <v>25</v>
      </c>
      <c r="N132" s="9" t="s">
        <v>25</v>
      </c>
      <c r="O132" s="9" t="n">
        <v>0</v>
      </c>
      <c r="P132" s="9"/>
      <c r="Q132" s="9"/>
      <c r="R132" s="9"/>
      <c r="S132" s="9" t="n">
        <f aca="false">O132-P132-Q132-R132</f>
        <v>0</v>
      </c>
    </row>
    <row r="133" customFormat="false" ht="15" hidden="false" customHeight="false" outlineLevel="0" collapsed="false">
      <c r="A133" s="9" t="s">
        <v>289</v>
      </c>
      <c r="B133" s="4" t="s">
        <v>351</v>
      </c>
      <c r="C133" s="9" t="s">
        <v>319</v>
      </c>
      <c r="D133" s="6" t="s">
        <v>352</v>
      </c>
      <c r="E133" s="17" t="s">
        <v>321</v>
      </c>
      <c r="F133" s="14" t="n">
        <v>913519.5717</v>
      </c>
      <c r="G133" s="15" t="n">
        <v>45384</v>
      </c>
      <c r="H133" s="5" t="s">
        <v>24</v>
      </c>
      <c r="I133" s="9" t="s">
        <v>25</v>
      </c>
      <c r="J133" s="9" t="s">
        <v>25</v>
      </c>
      <c r="K133" s="9" t="s">
        <v>25</v>
      </c>
      <c r="L133" s="9" t="s">
        <v>67</v>
      </c>
      <c r="M133" s="9" t="s">
        <v>25</v>
      </c>
      <c r="N133" s="9" t="s">
        <v>25</v>
      </c>
      <c r="O133" s="9" t="n">
        <v>0</v>
      </c>
      <c r="P133" s="9"/>
      <c r="Q133" s="9"/>
      <c r="R133" s="9"/>
      <c r="S133" s="9" t="n">
        <f aca="false">O133-P133-Q133-R133</f>
        <v>0</v>
      </c>
    </row>
    <row r="134" customFormat="false" ht="15" hidden="false" customHeight="false" outlineLevel="0" collapsed="false">
      <c r="A134" s="9" t="s">
        <v>289</v>
      </c>
      <c r="B134" s="4" t="s">
        <v>353</v>
      </c>
      <c r="C134" s="9" t="s">
        <v>319</v>
      </c>
      <c r="D134" s="6" t="s">
        <v>354</v>
      </c>
      <c r="E134" s="17" t="s">
        <v>355</v>
      </c>
      <c r="F134" s="14" t="n">
        <v>558250</v>
      </c>
      <c r="G134" s="15" t="n">
        <v>45384</v>
      </c>
      <c r="H134" s="5" t="s">
        <v>24</v>
      </c>
      <c r="I134" s="9" t="s">
        <v>67</v>
      </c>
      <c r="J134" s="9" t="s">
        <v>67</v>
      </c>
      <c r="K134" s="9" t="s">
        <v>25</v>
      </c>
      <c r="L134" s="9" t="s">
        <v>67</v>
      </c>
      <c r="M134" s="9" t="s">
        <v>25</v>
      </c>
      <c r="N134" s="9" t="s">
        <v>25</v>
      </c>
      <c r="O134" s="9" t="n">
        <v>1</v>
      </c>
      <c r="P134" s="9"/>
      <c r="Q134" s="9"/>
      <c r="R134" s="9"/>
      <c r="S134" s="9" t="n">
        <f aca="false">O134-P134-Q134-R134</f>
        <v>1</v>
      </c>
    </row>
    <row r="135" customFormat="false" ht="15" hidden="false" customHeight="false" outlineLevel="0" collapsed="false">
      <c r="A135" s="9" t="s">
        <v>289</v>
      </c>
      <c r="B135" s="4" t="s">
        <v>356</v>
      </c>
      <c r="C135" s="9" t="s">
        <v>319</v>
      </c>
      <c r="D135" s="6" t="s">
        <v>357</v>
      </c>
      <c r="E135" s="17" t="s">
        <v>321</v>
      </c>
      <c r="F135" s="14" t="n">
        <v>655397.5377</v>
      </c>
      <c r="G135" s="15" t="n">
        <v>45384</v>
      </c>
      <c r="H135" s="5" t="s">
        <v>24</v>
      </c>
      <c r="I135" s="9" t="s">
        <v>25</v>
      </c>
      <c r="J135" s="9" t="s">
        <v>25</v>
      </c>
      <c r="K135" s="9" t="s">
        <v>25</v>
      </c>
      <c r="L135" s="9" t="s">
        <v>67</v>
      </c>
      <c r="M135" s="9" t="s">
        <v>25</v>
      </c>
      <c r="N135" s="9" t="s">
        <v>25</v>
      </c>
      <c r="O135" s="9" t="n">
        <v>0</v>
      </c>
      <c r="P135" s="9"/>
      <c r="Q135" s="9"/>
      <c r="R135" s="9"/>
      <c r="S135" s="9" t="n">
        <f aca="false">O135-P135-Q135-R135</f>
        <v>0</v>
      </c>
    </row>
    <row r="136" customFormat="false" ht="15" hidden="false" customHeight="false" outlineLevel="0" collapsed="false">
      <c r="A136" s="9" t="s">
        <v>289</v>
      </c>
      <c r="B136" s="4" t="s">
        <v>358</v>
      </c>
      <c r="C136" s="9" t="s">
        <v>319</v>
      </c>
      <c r="D136" s="6" t="s">
        <v>359</v>
      </c>
      <c r="E136" s="17" t="s">
        <v>321</v>
      </c>
      <c r="F136" s="14" t="n">
        <v>547846.6902</v>
      </c>
      <c r="G136" s="15" t="n">
        <v>45384</v>
      </c>
      <c r="H136" s="5" t="s">
        <v>24</v>
      </c>
      <c r="I136" s="9" t="s">
        <v>25</v>
      </c>
      <c r="J136" s="9" t="s">
        <v>25</v>
      </c>
      <c r="K136" s="9" t="s">
        <v>25</v>
      </c>
      <c r="L136" s="9" t="s">
        <v>67</v>
      </c>
      <c r="M136" s="9" t="s">
        <v>25</v>
      </c>
      <c r="N136" s="9" t="s">
        <v>25</v>
      </c>
      <c r="O136" s="9" t="n">
        <v>0</v>
      </c>
      <c r="P136" s="9"/>
      <c r="Q136" s="9"/>
      <c r="R136" s="9"/>
      <c r="S136" s="9" t="n">
        <f aca="false">O136-P136-Q136-R136</f>
        <v>0</v>
      </c>
    </row>
    <row r="137" customFormat="false" ht="15" hidden="false" customHeight="false" outlineLevel="0" collapsed="false">
      <c r="A137" s="9" t="s">
        <v>289</v>
      </c>
      <c r="B137" s="4" t="s">
        <v>360</v>
      </c>
      <c r="C137" s="9" t="s">
        <v>319</v>
      </c>
      <c r="D137" s="6" t="s">
        <v>361</v>
      </c>
      <c r="E137" s="17" t="s">
        <v>362</v>
      </c>
      <c r="F137" s="14" t="n">
        <v>425000</v>
      </c>
      <c r="G137" s="15" t="n">
        <v>45384</v>
      </c>
      <c r="H137" s="5" t="s">
        <v>24</v>
      </c>
      <c r="I137" s="9" t="s">
        <v>67</v>
      </c>
      <c r="J137" s="9" t="s">
        <v>67</v>
      </c>
      <c r="K137" s="9" t="s">
        <v>25</v>
      </c>
      <c r="L137" s="9" t="s">
        <v>25</v>
      </c>
      <c r="M137" s="9" t="s">
        <v>25</v>
      </c>
      <c r="N137" s="9" t="s">
        <v>25</v>
      </c>
      <c r="O137" s="9" t="n">
        <v>0</v>
      </c>
      <c r="P137" s="9"/>
      <c r="Q137" s="9"/>
      <c r="R137" s="9"/>
      <c r="S137" s="9" t="n">
        <f aca="false">O137-P137-Q137-R137</f>
        <v>0</v>
      </c>
    </row>
    <row r="138" customFormat="false" ht="15" hidden="false" customHeight="false" outlineLevel="0" collapsed="false">
      <c r="A138" s="9" t="s">
        <v>289</v>
      </c>
      <c r="B138" s="4" t="s">
        <v>363</v>
      </c>
      <c r="C138" s="9" t="s">
        <v>319</v>
      </c>
      <c r="D138" s="6" t="s">
        <v>364</v>
      </c>
      <c r="E138" s="17" t="s">
        <v>365</v>
      </c>
      <c r="F138" s="14" t="n">
        <v>395344.93</v>
      </c>
      <c r="G138" s="15" t="n">
        <v>45384</v>
      </c>
      <c r="H138" s="5" t="s">
        <v>24</v>
      </c>
      <c r="I138" s="9" t="s">
        <v>67</v>
      </c>
      <c r="J138" s="9" t="s">
        <v>67</v>
      </c>
      <c r="K138" s="9" t="s">
        <v>67</v>
      </c>
      <c r="L138" s="9" t="s">
        <v>67</v>
      </c>
      <c r="M138" s="9" t="s">
        <v>25</v>
      </c>
      <c r="N138" s="9" t="s">
        <v>25</v>
      </c>
      <c r="O138" s="9" t="n">
        <v>0</v>
      </c>
      <c r="P138" s="9"/>
      <c r="Q138" s="9"/>
      <c r="R138" s="9"/>
      <c r="S138" s="9" t="n">
        <f aca="false">O138-P138-Q138-R138</f>
        <v>0</v>
      </c>
    </row>
    <row r="139" customFormat="false" ht="15" hidden="false" customHeight="false" outlineLevel="0" collapsed="false">
      <c r="A139" s="9" t="s">
        <v>289</v>
      </c>
      <c r="B139" s="4" t="s">
        <v>366</v>
      </c>
      <c r="C139" s="9" t="s">
        <v>319</v>
      </c>
      <c r="D139" s="6" t="s">
        <v>367</v>
      </c>
      <c r="E139" s="17" t="s">
        <v>355</v>
      </c>
      <c r="F139" s="14" t="n">
        <v>393130</v>
      </c>
      <c r="G139" s="15" t="n">
        <v>45384</v>
      </c>
      <c r="H139" s="5" t="s">
        <v>24</v>
      </c>
      <c r="I139" s="9" t="s">
        <v>67</v>
      </c>
      <c r="J139" s="9" t="s">
        <v>67</v>
      </c>
      <c r="K139" s="9" t="s">
        <v>67</v>
      </c>
      <c r="L139" s="9" t="s">
        <v>67</v>
      </c>
      <c r="M139" s="9" t="s">
        <v>25</v>
      </c>
      <c r="N139" s="9" t="s">
        <v>25</v>
      </c>
      <c r="O139" s="9" t="n">
        <v>0</v>
      </c>
      <c r="P139" s="9"/>
      <c r="Q139" s="9"/>
      <c r="R139" s="9"/>
      <c r="S139" s="9" t="n">
        <f aca="false">O139-P139-Q139-R139</f>
        <v>0</v>
      </c>
    </row>
    <row r="140" customFormat="false" ht="15" hidden="false" customHeight="false" outlineLevel="0" collapsed="false">
      <c r="A140" s="9" t="s">
        <v>289</v>
      </c>
      <c r="B140" s="4" t="s">
        <v>368</v>
      </c>
      <c r="C140" s="9" t="s">
        <v>319</v>
      </c>
      <c r="D140" s="6" t="s">
        <v>369</v>
      </c>
      <c r="E140" s="17" t="s">
        <v>321</v>
      </c>
      <c r="F140" s="14" t="n">
        <v>386520.4125</v>
      </c>
      <c r="G140" s="15" t="n">
        <v>45384</v>
      </c>
      <c r="H140" s="5" t="s">
        <v>24</v>
      </c>
      <c r="I140" s="9" t="s">
        <v>25</v>
      </c>
      <c r="J140" s="9" t="s">
        <v>25</v>
      </c>
      <c r="K140" s="9" t="s">
        <v>25</v>
      </c>
      <c r="L140" s="9" t="s">
        <v>67</v>
      </c>
      <c r="M140" s="9" t="s">
        <v>25</v>
      </c>
      <c r="N140" s="9" t="s">
        <v>25</v>
      </c>
      <c r="O140" s="9" t="n">
        <v>1</v>
      </c>
      <c r="P140" s="9"/>
      <c r="Q140" s="9"/>
      <c r="R140" s="9"/>
      <c r="S140" s="9" t="n">
        <f aca="false">O140-P140-Q140-R140</f>
        <v>1</v>
      </c>
    </row>
    <row r="141" customFormat="false" ht="15" hidden="false" customHeight="false" outlineLevel="0" collapsed="false">
      <c r="A141" s="9" t="s">
        <v>289</v>
      </c>
      <c r="B141" s="4" t="s">
        <v>370</v>
      </c>
      <c r="C141" s="9" t="s">
        <v>319</v>
      </c>
      <c r="D141" s="6" t="s">
        <v>371</v>
      </c>
      <c r="E141" s="17" t="s">
        <v>321</v>
      </c>
      <c r="F141" s="14" t="n">
        <v>332744.9952</v>
      </c>
      <c r="G141" s="15" t="n">
        <v>45384</v>
      </c>
      <c r="H141" s="5" t="s">
        <v>24</v>
      </c>
      <c r="I141" s="9" t="s">
        <v>25</v>
      </c>
      <c r="J141" s="9" t="s">
        <v>25</v>
      </c>
      <c r="K141" s="9" t="s">
        <v>25</v>
      </c>
      <c r="L141" s="9" t="s">
        <v>67</v>
      </c>
      <c r="M141" s="9" t="s">
        <v>25</v>
      </c>
      <c r="N141" s="9" t="s">
        <v>25</v>
      </c>
      <c r="O141" s="9" t="n">
        <v>1</v>
      </c>
      <c r="P141" s="9"/>
      <c r="Q141" s="9"/>
      <c r="R141" s="9"/>
      <c r="S141" s="9" t="n">
        <f aca="false">O141-P141-Q141-R141</f>
        <v>1</v>
      </c>
    </row>
    <row r="142" customFormat="false" ht="15" hidden="false" customHeight="false" outlineLevel="0" collapsed="false">
      <c r="A142" s="9" t="s">
        <v>289</v>
      </c>
      <c r="B142" s="4" t="s">
        <v>372</v>
      </c>
      <c r="C142" s="9" t="s">
        <v>319</v>
      </c>
      <c r="D142" s="6" t="s">
        <v>373</v>
      </c>
      <c r="E142" s="17" t="s">
        <v>355</v>
      </c>
      <c r="F142" s="14" t="n">
        <v>275740</v>
      </c>
      <c r="G142" s="15" t="n">
        <v>45384</v>
      </c>
      <c r="H142" s="5" t="s">
        <v>24</v>
      </c>
      <c r="I142" s="9" t="s">
        <v>67</v>
      </c>
      <c r="J142" s="9" t="s">
        <v>67</v>
      </c>
      <c r="K142" s="9" t="s">
        <v>25</v>
      </c>
      <c r="L142" s="9" t="s">
        <v>25</v>
      </c>
      <c r="M142" s="9" t="s">
        <v>25</v>
      </c>
      <c r="N142" s="9" t="s">
        <v>25</v>
      </c>
      <c r="O142" s="9" t="n">
        <v>1</v>
      </c>
      <c r="P142" s="9"/>
      <c r="Q142" s="9"/>
      <c r="R142" s="9"/>
      <c r="S142" s="9" t="n">
        <f aca="false">O142-P142-Q142-R142</f>
        <v>1</v>
      </c>
    </row>
    <row r="143" customFormat="false" ht="15" hidden="false" customHeight="false" outlineLevel="0" collapsed="false">
      <c r="A143" s="9" t="s">
        <v>289</v>
      </c>
      <c r="B143" s="4" t="s">
        <v>374</v>
      </c>
      <c r="C143" s="9" t="s">
        <v>319</v>
      </c>
      <c r="D143" s="6" t="s">
        <v>375</v>
      </c>
      <c r="E143" s="17" t="s">
        <v>321</v>
      </c>
      <c r="F143" s="14" t="n">
        <v>268214.4867</v>
      </c>
      <c r="G143" s="15" t="n">
        <v>45384</v>
      </c>
      <c r="H143" s="5" t="s">
        <v>24</v>
      </c>
      <c r="I143" s="9" t="s">
        <v>25</v>
      </c>
      <c r="J143" s="9" t="s">
        <v>25</v>
      </c>
      <c r="K143" s="9" t="s">
        <v>25</v>
      </c>
      <c r="L143" s="9" t="s">
        <v>67</v>
      </c>
      <c r="M143" s="9" t="s">
        <v>25</v>
      </c>
      <c r="N143" s="9" t="s">
        <v>25</v>
      </c>
      <c r="O143" s="9" t="n">
        <v>1</v>
      </c>
      <c r="P143" s="9"/>
      <c r="Q143" s="9"/>
      <c r="R143" s="9"/>
      <c r="S143" s="9" t="n">
        <f aca="false">O143-P143-Q143-R143</f>
        <v>1</v>
      </c>
    </row>
    <row r="144" customFormat="false" ht="15" hidden="false" customHeight="false" outlineLevel="0" collapsed="false">
      <c r="A144" s="9" t="s">
        <v>289</v>
      </c>
      <c r="B144" s="4" t="s">
        <v>376</v>
      </c>
      <c r="C144" s="9" t="s">
        <v>319</v>
      </c>
      <c r="D144" s="6" t="s">
        <v>377</v>
      </c>
      <c r="E144" s="17" t="s">
        <v>57</v>
      </c>
      <c r="F144" s="14" t="n">
        <v>179998.9936</v>
      </c>
      <c r="G144" s="15" t="n">
        <v>45384</v>
      </c>
      <c r="H144" s="5" t="s">
        <v>24</v>
      </c>
      <c r="I144" s="9" t="s">
        <v>67</v>
      </c>
      <c r="J144" s="9" t="s">
        <v>67</v>
      </c>
      <c r="K144" s="9" t="s">
        <v>67</v>
      </c>
      <c r="L144" s="9" t="s">
        <v>67</v>
      </c>
      <c r="M144" s="9" t="s">
        <v>25</v>
      </c>
      <c r="N144" s="9" t="s">
        <v>25</v>
      </c>
      <c r="O144" s="9" t="n">
        <v>1</v>
      </c>
      <c r="P144" s="9"/>
      <c r="Q144" s="9"/>
      <c r="R144" s="9"/>
      <c r="S144" s="9" t="n">
        <f aca="false">O144-P144-Q144-R144</f>
        <v>1</v>
      </c>
    </row>
    <row r="145" customFormat="false" ht="15" hidden="false" customHeight="false" outlineLevel="0" collapsed="false">
      <c r="A145" s="9" t="s">
        <v>289</v>
      </c>
      <c r="B145" s="4" t="s">
        <v>378</v>
      </c>
      <c r="C145" s="9" t="s">
        <v>319</v>
      </c>
      <c r="D145" s="6" t="s">
        <v>379</v>
      </c>
      <c r="E145" s="17" t="s">
        <v>117</v>
      </c>
      <c r="F145" s="14" t="n">
        <v>27109.202</v>
      </c>
      <c r="G145" s="15" t="n">
        <v>45384</v>
      </c>
      <c r="H145" s="5" t="s">
        <v>24</v>
      </c>
      <c r="I145" s="9" t="s">
        <v>67</v>
      </c>
      <c r="J145" s="9" t="s">
        <v>67</v>
      </c>
      <c r="K145" s="9" t="s">
        <v>67</v>
      </c>
      <c r="L145" s="9" t="s">
        <v>67</v>
      </c>
      <c r="M145" s="9" t="s">
        <v>25</v>
      </c>
      <c r="N145" s="9" t="s">
        <v>25</v>
      </c>
      <c r="O145" s="9" t="n">
        <v>1</v>
      </c>
      <c r="P145" s="9"/>
      <c r="Q145" s="9"/>
      <c r="R145" s="9"/>
      <c r="S145" s="9" t="n">
        <f aca="false">O145-P145-Q145-R145</f>
        <v>1</v>
      </c>
    </row>
    <row r="146" customFormat="false" ht="15" hidden="false" customHeight="false" outlineLevel="0" collapsed="false">
      <c r="A146" s="9" t="s">
        <v>289</v>
      </c>
      <c r="B146" s="4" t="s">
        <v>380</v>
      </c>
      <c r="C146" s="9" t="s">
        <v>319</v>
      </c>
      <c r="D146" s="10" t="s">
        <v>381</v>
      </c>
      <c r="E146" s="17" t="s">
        <v>70</v>
      </c>
      <c r="F146" s="14" t="n">
        <v>14799.442</v>
      </c>
      <c r="G146" s="15" t="n">
        <v>45384</v>
      </c>
      <c r="H146" s="5" t="s">
        <v>24</v>
      </c>
      <c r="I146" s="9" t="s">
        <v>25</v>
      </c>
      <c r="J146" s="9" t="s">
        <v>25</v>
      </c>
      <c r="K146" s="9" t="s">
        <v>25</v>
      </c>
      <c r="L146" s="9" t="s">
        <v>25</v>
      </c>
      <c r="M146" s="9" t="n">
        <v>1</v>
      </c>
      <c r="N146" s="9" t="s">
        <v>25</v>
      </c>
      <c r="O146" s="9" t="n">
        <v>1</v>
      </c>
      <c r="P146" s="9"/>
      <c r="Q146" s="9"/>
      <c r="R146" s="9"/>
      <c r="S146" s="9" t="n">
        <f aca="false">O146-P146-Q146-R146</f>
        <v>1</v>
      </c>
    </row>
    <row r="147" customFormat="false" ht="15" hidden="false" customHeight="false" outlineLevel="0" collapsed="false">
      <c r="A147" s="16" t="s">
        <v>104</v>
      </c>
      <c r="B147" s="4" t="s">
        <v>382</v>
      </c>
      <c r="C147" s="16" t="s">
        <v>106</v>
      </c>
      <c r="D147" s="6" t="s">
        <v>383</v>
      </c>
      <c r="E147" s="17" t="s">
        <v>70</v>
      </c>
      <c r="F147" s="14" t="n">
        <v>14500</v>
      </c>
      <c r="G147" s="15" t="n">
        <v>45414</v>
      </c>
      <c r="H147" s="5" t="s">
        <v>24</v>
      </c>
      <c r="I147" s="9" t="s">
        <v>67</v>
      </c>
      <c r="J147" s="9" t="s">
        <v>67</v>
      </c>
      <c r="K147" s="9" t="s">
        <v>25</v>
      </c>
      <c r="L147" s="9" t="s">
        <v>25</v>
      </c>
      <c r="M147" s="9" t="s">
        <v>25</v>
      </c>
      <c r="N147" s="9" t="s">
        <v>25</v>
      </c>
      <c r="O147" s="9" t="n">
        <v>0</v>
      </c>
      <c r="P147" s="9"/>
      <c r="Q147" s="9"/>
      <c r="R147" s="9"/>
      <c r="S147" s="9" t="n">
        <f aca="false">O147-P147-Q147-R147</f>
        <v>0</v>
      </c>
    </row>
    <row r="148" customFormat="false" ht="15" hidden="false" customHeight="false" outlineLevel="0" collapsed="false">
      <c r="A148" s="9" t="s">
        <v>289</v>
      </c>
      <c r="B148" s="4" t="s">
        <v>384</v>
      </c>
      <c r="C148" s="16" t="s">
        <v>319</v>
      </c>
      <c r="D148" s="25" t="s">
        <v>385</v>
      </c>
      <c r="E148" s="17" t="s">
        <v>108</v>
      </c>
      <c r="F148" s="14" t="n">
        <v>322016.1</v>
      </c>
      <c r="G148" s="15" t="n">
        <v>45414</v>
      </c>
      <c r="H148" s="5" t="s">
        <v>24</v>
      </c>
      <c r="I148" s="9" t="s">
        <v>67</v>
      </c>
      <c r="J148" s="9" t="s">
        <v>67</v>
      </c>
      <c r="K148" s="9" t="s">
        <v>67</v>
      </c>
      <c r="L148" s="9" t="s">
        <v>67</v>
      </c>
      <c r="M148" s="9" t="s">
        <v>25</v>
      </c>
      <c r="N148" s="9" t="s">
        <v>25</v>
      </c>
      <c r="O148" s="9" t="n">
        <v>0</v>
      </c>
      <c r="P148" s="9"/>
      <c r="Q148" s="9"/>
      <c r="R148" s="9"/>
      <c r="S148" s="9" t="n">
        <f aca="false">O148-P148-Q148-R148</f>
        <v>0</v>
      </c>
    </row>
    <row r="149" customFormat="false" ht="15" hidden="false" customHeight="false" outlineLevel="0" collapsed="false">
      <c r="A149" s="9" t="s">
        <v>289</v>
      </c>
      <c r="B149" s="4" t="s">
        <v>386</v>
      </c>
      <c r="C149" s="16" t="s">
        <v>319</v>
      </c>
      <c r="D149" s="25" t="s">
        <v>387</v>
      </c>
      <c r="E149" s="17" t="s">
        <v>108</v>
      </c>
      <c r="F149" s="14" t="n">
        <v>169738.28</v>
      </c>
      <c r="G149" s="15" t="n">
        <v>45414</v>
      </c>
      <c r="H149" s="5" t="s">
        <v>24</v>
      </c>
      <c r="I149" s="9" t="s">
        <v>67</v>
      </c>
      <c r="J149" s="9" t="s">
        <v>67</v>
      </c>
      <c r="K149" s="9" t="s">
        <v>67</v>
      </c>
      <c r="L149" s="9" t="s">
        <v>67</v>
      </c>
      <c r="M149" s="9" t="s">
        <v>25</v>
      </c>
      <c r="N149" s="9" t="s">
        <v>25</v>
      </c>
      <c r="O149" s="9" t="n">
        <v>0</v>
      </c>
      <c r="P149" s="9"/>
      <c r="Q149" s="9"/>
      <c r="R149" s="9"/>
      <c r="S149" s="9" t="n">
        <f aca="false">O149-P149-Q149-R149</f>
        <v>0</v>
      </c>
    </row>
    <row r="150" customFormat="false" ht="15" hidden="false" customHeight="false" outlineLevel="0" collapsed="false">
      <c r="A150" s="9" t="s">
        <v>289</v>
      </c>
      <c r="B150" s="4" t="s">
        <v>388</v>
      </c>
      <c r="C150" s="16" t="s">
        <v>319</v>
      </c>
      <c r="D150" s="25" t="s">
        <v>389</v>
      </c>
      <c r="E150" s="17" t="s">
        <v>108</v>
      </c>
      <c r="F150" s="14" t="n">
        <v>52645.7</v>
      </c>
      <c r="G150" s="15" t="n">
        <v>45414</v>
      </c>
      <c r="H150" s="5" t="s">
        <v>24</v>
      </c>
      <c r="I150" s="9" t="s">
        <v>67</v>
      </c>
      <c r="J150" s="9" t="s">
        <v>67</v>
      </c>
      <c r="K150" s="9" t="s">
        <v>67</v>
      </c>
      <c r="L150" s="9" t="s">
        <v>67</v>
      </c>
      <c r="M150" s="9" t="s">
        <v>25</v>
      </c>
      <c r="N150" s="9" t="s">
        <v>25</v>
      </c>
      <c r="O150" s="9" t="n">
        <v>1</v>
      </c>
      <c r="P150" s="9"/>
      <c r="Q150" s="9"/>
      <c r="R150" s="9"/>
      <c r="S150" s="9" t="n">
        <f aca="false">O150-P150-Q150-R150</f>
        <v>1</v>
      </c>
    </row>
    <row r="151" customFormat="false" ht="15" hidden="false" customHeight="false" outlineLevel="0" collapsed="false">
      <c r="A151" s="9" t="s">
        <v>289</v>
      </c>
      <c r="B151" s="4" t="s">
        <v>390</v>
      </c>
      <c r="C151" s="16" t="s">
        <v>391</v>
      </c>
      <c r="D151" s="25" t="s">
        <v>392</v>
      </c>
      <c r="E151" s="17" t="s">
        <v>108</v>
      </c>
      <c r="F151" s="14" t="n">
        <v>38447.94</v>
      </c>
      <c r="G151" s="15" t="n">
        <v>45414</v>
      </c>
      <c r="H151" s="5" t="s">
        <v>24</v>
      </c>
      <c r="I151" s="9" t="s">
        <v>67</v>
      </c>
      <c r="J151" s="9" t="s">
        <v>67</v>
      </c>
      <c r="K151" s="9" t="s">
        <v>67</v>
      </c>
      <c r="L151" s="9" t="s">
        <v>67</v>
      </c>
      <c r="M151" s="9" t="s">
        <v>25</v>
      </c>
      <c r="N151" s="9" t="s">
        <v>25</v>
      </c>
      <c r="O151" s="9" t="n">
        <v>1</v>
      </c>
      <c r="P151" s="9"/>
      <c r="Q151" s="9"/>
      <c r="R151" s="9"/>
      <c r="S151" s="9" t="n">
        <f aca="false">O151-P151-Q151-R151</f>
        <v>1</v>
      </c>
    </row>
    <row r="152" customFormat="false" ht="15" hidden="false" customHeight="false" outlineLevel="0" collapsed="false">
      <c r="A152" s="9" t="s">
        <v>289</v>
      </c>
      <c r="B152" s="4" t="s">
        <v>393</v>
      </c>
      <c r="C152" s="16" t="s">
        <v>319</v>
      </c>
      <c r="D152" s="25" t="s">
        <v>394</v>
      </c>
      <c r="E152" s="17" t="s">
        <v>108</v>
      </c>
      <c r="F152" s="14" t="n">
        <v>66699.5</v>
      </c>
      <c r="G152" s="15" t="n">
        <v>45414</v>
      </c>
      <c r="H152" s="5" t="s">
        <v>24</v>
      </c>
      <c r="I152" s="9" t="s">
        <v>67</v>
      </c>
      <c r="J152" s="9" t="s">
        <v>67</v>
      </c>
      <c r="K152" s="9" t="s">
        <v>67</v>
      </c>
      <c r="L152" s="9" t="s">
        <v>67</v>
      </c>
      <c r="M152" s="9" t="s">
        <v>25</v>
      </c>
      <c r="N152" s="9" t="s">
        <v>25</v>
      </c>
      <c r="O152" s="9" t="n">
        <v>0</v>
      </c>
      <c r="P152" s="9"/>
      <c r="Q152" s="9"/>
      <c r="R152" s="9"/>
      <c r="S152" s="9" t="n">
        <f aca="false">O152-P152-Q152-R152</f>
        <v>0</v>
      </c>
    </row>
    <row r="153" customFormat="false" ht="15" hidden="false" customHeight="false" outlineLevel="0" collapsed="false">
      <c r="A153" s="16" t="s">
        <v>104</v>
      </c>
      <c r="B153" s="4" t="s">
        <v>395</v>
      </c>
      <c r="C153" s="16" t="s">
        <v>106</v>
      </c>
      <c r="D153" s="25" t="s">
        <v>396</v>
      </c>
      <c r="E153" s="17" t="s">
        <v>70</v>
      </c>
      <c r="F153" s="14" t="n">
        <v>5295</v>
      </c>
      <c r="G153" s="15" t="n">
        <v>45414</v>
      </c>
      <c r="H153" s="5" t="s">
        <v>24</v>
      </c>
      <c r="I153" s="9" t="s">
        <v>67</v>
      </c>
      <c r="J153" s="9" t="s">
        <v>67</v>
      </c>
      <c r="K153" s="9" t="s">
        <v>67</v>
      </c>
      <c r="L153" s="9" t="s">
        <v>67</v>
      </c>
      <c r="M153" s="9" t="n">
        <v>1</v>
      </c>
      <c r="N153" s="9" t="s">
        <v>25</v>
      </c>
      <c r="O153" s="9" t="n">
        <v>1</v>
      </c>
      <c r="P153" s="9"/>
      <c r="Q153" s="9"/>
      <c r="R153" s="9"/>
      <c r="S153" s="9" t="n">
        <f aca="false">O153-P153-Q153-R153</f>
        <v>1</v>
      </c>
    </row>
    <row r="154" customFormat="false" ht="15" hidden="false" customHeight="false" outlineLevel="0" collapsed="false">
      <c r="A154" s="16" t="s">
        <v>135</v>
      </c>
      <c r="B154" s="4" t="s">
        <v>397</v>
      </c>
      <c r="C154" s="16" t="s">
        <v>181</v>
      </c>
      <c r="D154" s="25" t="s">
        <v>398</v>
      </c>
      <c r="E154" s="17" t="s">
        <v>70</v>
      </c>
      <c r="F154" s="14" t="n">
        <v>12398</v>
      </c>
      <c r="G154" s="15" t="n">
        <v>45414</v>
      </c>
      <c r="H154" s="5" t="s">
        <v>24</v>
      </c>
      <c r="I154" s="9" t="s">
        <v>67</v>
      </c>
      <c r="J154" s="9" t="s">
        <v>25</v>
      </c>
      <c r="K154" s="9" t="s">
        <v>25</v>
      </c>
      <c r="L154" s="9" t="s">
        <v>25</v>
      </c>
      <c r="M154" s="9" t="s">
        <v>25</v>
      </c>
      <c r="N154" s="9" t="s">
        <v>25</v>
      </c>
      <c r="O154" s="9" t="n">
        <v>6</v>
      </c>
      <c r="P154" s="9"/>
      <c r="Q154" s="9"/>
      <c r="R154" s="9"/>
      <c r="S154" s="9" t="n">
        <f aca="false">O154-P154-Q154-R154</f>
        <v>6</v>
      </c>
    </row>
    <row r="155" customFormat="false" ht="15" hidden="false" customHeight="false" outlineLevel="0" collapsed="false">
      <c r="A155" s="16" t="s">
        <v>135</v>
      </c>
      <c r="B155" s="4" t="s">
        <v>399</v>
      </c>
      <c r="C155" s="16" t="s">
        <v>400</v>
      </c>
      <c r="D155" s="25" t="s">
        <v>401</v>
      </c>
      <c r="E155" s="17" t="s">
        <v>70</v>
      </c>
      <c r="F155" s="14" t="n">
        <v>35</v>
      </c>
      <c r="G155" s="15" t="n">
        <v>45414</v>
      </c>
      <c r="H155" s="5" t="s">
        <v>24</v>
      </c>
      <c r="I155" s="9" t="n">
        <v>10</v>
      </c>
      <c r="J155" s="9" t="n">
        <v>10</v>
      </c>
      <c r="K155" s="9" t="n">
        <v>10</v>
      </c>
      <c r="L155" s="9" t="n">
        <v>10</v>
      </c>
      <c r="M155" s="9" t="n">
        <v>5</v>
      </c>
      <c r="N155" s="9" t="s">
        <v>25</v>
      </c>
      <c r="O155" s="9" t="n">
        <v>100</v>
      </c>
      <c r="P155" s="9"/>
      <c r="Q155" s="9"/>
      <c r="R155" s="9"/>
      <c r="S155" s="9" t="n">
        <f aca="false">O155-P155-Q155-R155</f>
        <v>100</v>
      </c>
    </row>
    <row r="156" customFormat="false" ht="15" hidden="false" customHeight="false" outlineLevel="0" collapsed="false">
      <c r="A156" s="16" t="s">
        <v>135</v>
      </c>
      <c r="B156" s="4" t="s">
        <v>402</v>
      </c>
      <c r="C156" s="16" t="s">
        <v>400</v>
      </c>
      <c r="D156" s="25" t="s">
        <v>403</v>
      </c>
      <c r="E156" s="17" t="s">
        <v>70</v>
      </c>
      <c r="F156" s="14" t="n">
        <v>40</v>
      </c>
      <c r="G156" s="15" t="n">
        <v>45414</v>
      </c>
      <c r="H156" s="5" t="s">
        <v>24</v>
      </c>
      <c r="I156" s="9" t="n">
        <v>10</v>
      </c>
      <c r="J156" s="9" t="n">
        <v>10</v>
      </c>
      <c r="K156" s="9" t="n">
        <v>10</v>
      </c>
      <c r="L156" s="9" t="n">
        <v>10</v>
      </c>
      <c r="M156" s="9" t="n">
        <v>5</v>
      </c>
      <c r="N156" s="9" t="s">
        <v>25</v>
      </c>
      <c r="O156" s="9" t="n">
        <v>100</v>
      </c>
      <c r="P156" s="9"/>
      <c r="Q156" s="9"/>
      <c r="R156" s="9"/>
      <c r="S156" s="9" t="n">
        <f aca="false">O156-P156-Q156-R156</f>
        <v>100</v>
      </c>
    </row>
    <row r="157" customFormat="false" ht="15" hidden="false" customHeight="false" outlineLevel="0" collapsed="false">
      <c r="A157" s="16" t="s">
        <v>135</v>
      </c>
      <c r="B157" s="4" t="s">
        <v>404</v>
      </c>
      <c r="C157" s="16" t="s">
        <v>400</v>
      </c>
      <c r="D157" s="25" t="s">
        <v>405</v>
      </c>
      <c r="E157" s="17" t="s">
        <v>70</v>
      </c>
      <c r="F157" s="14" t="n">
        <v>80</v>
      </c>
      <c r="G157" s="15" t="n">
        <v>45414</v>
      </c>
      <c r="H157" s="5" t="s">
        <v>24</v>
      </c>
      <c r="I157" s="9" t="n">
        <v>10</v>
      </c>
      <c r="J157" s="9" t="n">
        <v>10</v>
      </c>
      <c r="K157" s="9" t="n">
        <v>10</v>
      </c>
      <c r="L157" s="9" t="n">
        <v>10</v>
      </c>
      <c r="M157" s="9" t="n">
        <v>5</v>
      </c>
      <c r="N157" s="9" t="n">
        <v>5</v>
      </c>
      <c r="O157" s="9" t="n">
        <v>100</v>
      </c>
      <c r="P157" s="9"/>
      <c r="Q157" s="9"/>
      <c r="R157" s="9"/>
      <c r="S157" s="9" t="n">
        <f aca="false">O157-P157-Q157-R157</f>
        <v>100</v>
      </c>
    </row>
    <row r="158" customFormat="false" ht="15" hidden="false" customHeight="false" outlineLevel="0" collapsed="false">
      <c r="A158" s="16" t="s">
        <v>135</v>
      </c>
      <c r="B158" s="4" t="s">
        <v>406</v>
      </c>
      <c r="C158" s="16" t="s">
        <v>400</v>
      </c>
      <c r="D158" s="25" t="s">
        <v>407</v>
      </c>
      <c r="E158" s="17" t="s">
        <v>70</v>
      </c>
      <c r="F158" s="14" t="n">
        <v>100</v>
      </c>
      <c r="G158" s="15" t="n">
        <v>45414</v>
      </c>
      <c r="H158" s="5" t="s">
        <v>24</v>
      </c>
      <c r="I158" s="9" t="n">
        <v>10</v>
      </c>
      <c r="J158" s="9" t="n">
        <v>10</v>
      </c>
      <c r="K158" s="9" t="n">
        <v>10</v>
      </c>
      <c r="L158" s="9" t="n">
        <v>10</v>
      </c>
      <c r="M158" s="9" t="s">
        <v>25</v>
      </c>
      <c r="N158" s="9" t="n">
        <v>5</v>
      </c>
      <c r="O158" s="9" t="n">
        <v>100</v>
      </c>
      <c r="P158" s="9"/>
      <c r="Q158" s="9"/>
      <c r="R158" s="9"/>
      <c r="S158" s="9" t="n">
        <f aca="false">O158-P158-Q158-R158</f>
        <v>100</v>
      </c>
    </row>
    <row r="159" customFormat="false" ht="15" hidden="false" customHeight="false" outlineLevel="0" collapsed="false">
      <c r="A159" s="16" t="s">
        <v>135</v>
      </c>
      <c r="B159" s="4" t="s">
        <v>408</v>
      </c>
      <c r="C159" s="16" t="s">
        <v>400</v>
      </c>
      <c r="D159" s="25" t="s">
        <v>409</v>
      </c>
      <c r="E159" s="17" t="s">
        <v>64</v>
      </c>
      <c r="F159" s="14" t="n">
        <v>100</v>
      </c>
      <c r="G159" s="15" t="s">
        <v>65</v>
      </c>
      <c r="H159" s="5" t="s">
        <v>24</v>
      </c>
      <c r="I159" s="9" t="n">
        <v>1</v>
      </c>
      <c r="J159" s="9" t="n">
        <v>1</v>
      </c>
      <c r="K159" s="9" t="n">
        <v>1</v>
      </c>
      <c r="L159" s="9" t="n">
        <v>1</v>
      </c>
      <c r="M159" s="9" t="n">
        <v>1</v>
      </c>
      <c r="N159" s="9" t="n">
        <v>1</v>
      </c>
      <c r="O159" s="9" t="n">
        <v>3</v>
      </c>
      <c r="P159" s="9"/>
      <c r="Q159" s="9"/>
      <c r="R159" s="9"/>
      <c r="S159" s="9" t="n">
        <f aca="false">O159-P159-Q159-R159</f>
        <v>3</v>
      </c>
    </row>
    <row r="160" customFormat="false" ht="15" hidden="false" customHeight="false" outlineLevel="0" collapsed="false">
      <c r="A160" s="16" t="s">
        <v>135</v>
      </c>
      <c r="B160" s="4" t="s">
        <v>410</v>
      </c>
      <c r="C160" s="16" t="s">
        <v>400</v>
      </c>
      <c r="D160" s="25" t="s">
        <v>411</v>
      </c>
      <c r="E160" s="17" t="s">
        <v>64</v>
      </c>
      <c r="F160" s="14" t="n">
        <v>100</v>
      </c>
      <c r="G160" s="15" t="s">
        <v>65</v>
      </c>
      <c r="H160" s="5" t="s">
        <v>24</v>
      </c>
      <c r="I160" s="9" t="n">
        <v>1</v>
      </c>
      <c r="J160" s="9" t="n">
        <v>1</v>
      </c>
      <c r="K160" s="9" t="n">
        <v>1</v>
      </c>
      <c r="L160" s="9" t="n">
        <v>1</v>
      </c>
      <c r="M160" s="9" t="n">
        <v>1</v>
      </c>
      <c r="N160" s="9" t="n">
        <v>1</v>
      </c>
      <c r="O160" s="9" t="n">
        <v>3</v>
      </c>
      <c r="P160" s="9"/>
      <c r="Q160" s="9"/>
      <c r="R160" s="9"/>
      <c r="S160" s="9" t="n">
        <f aca="false">O160-P160-Q160-R160</f>
        <v>3</v>
      </c>
    </row>
    <row r="161" customFormat="false" ht="15" hidden="false" customHeight="false" outlineLevel="0" collapsed="false">
      <c r="A161" s="16" t="s">
        <v>135</v>
      </c>
      <c r="B161" s="4" t="s">
        <v>412</v>
      </c>
      <c r="C161" s="16" t="s">
        <v>400</v>
      </c>
      <c r="D161" s="25" t="s">
        <v>413</v>
      </c>
      <c r="E161" s="17" t="s">
        <v>64</v>
      </c>
      <c r="F161" s="14" t="n">
        <v>50</v>
      </c>
      <c r="G161" s="15" t="s">
        <v>65</v>
      </c>
      <c r="H161" s="5" t="s">
        <v>24</v>
      </c>
      <c r="I161" s="9" t="n">
        <v>1</v>
      </c>
      <c r="J161" s="9" t="n">
        <v>1</v>
      </c>
      <c r="K161" s="9" t="n">
        <v>1</v>
      </c>
      <c r="L161" s="9" t="n">
        <v>1</v>
      </c>
      <c r="M161" s="9" t="n">
        <v>1</v>
      </c>
      <c r="N161" s="9" t="n">
        <v>1</v>
      </c>
      <c r="O161" s="9" t="n">
        <v>3</v>
      </c>
      <c r="P161" s="9"/>
      <c r="Q161" s="9"/>
      <c r="R161" s="9"/>
      <c r="S161" s="9" t="n">
        <f aca="false">O161-P161-Q161-R161</f>
        <v>3</v>
      </c>
    </row>
    <row r="162" customFormat="false" ht="15" hidden="false" customHeight="false" outlineLevel="0" collapsed="false">
      <c r="A162" s="16" t="s">
        <v>135</v>
      </c>
      <c r="B162" s="4" t="s">
        <v>414</v>
      </c>
      <c r="C162" s="16" t="s">
        <v>400</v>
      </c>
      <c r="D162" s="25" t="s">
        <v>415</v>
      </c>
      <c r="E162" s="17" t="s">
        <v>64</v>
      </c>
      <c r="F162" s="14" t="n">
        <v>1000</v>
      </c>
      <c r="G162" s="15" t="s">
        <v>65</v>
      </c>
      <c r="H162" s="5" t="s">
        <v>24</v>
      </c>
      <c r="I162" s="9" t="n">
        <v>1</v>
      </c>
      <c r="J162" s="9" t="n">
        <v>1</v>
      </c>
      <c r="K162" s="9" t="n">
        <v>1</v>
      </c>
      <c r="L162" s="9" t="n">
        <v>1</v>
      </c>
      <c r="M162" s="9" t="n">
        <v>1</v>
      </c>
      <c r="N162" s="9" t="n">
        <v>1</v>
      </c>
      <c r="O162" s="9" t="n">
        <v>0</v>
      </c>
      <c r="P162" s="9"/>
      <c r="Q162" s="9"/>
      <c r="R162" s="9"/>
      <c r="S162" s="9" t="n">
        <f aca="false">O162-P162-Q162-R162</f>
        <v>0</v>
      </c>
    </row>
    <row r="163" customFormat="false" ht="15" hidden="false" customHeight="false" outlineLevel="0" collapsed="false">
      <c r="A163" s="16" t="s">
        <v>19</v>
      </c>
      <c r="B163" s="4" t="s">
        <v>416</v>
      </c>
      <c r="C163" s="16" t="s">
        <v>36</v>
      </c>
      <c r="D163" s="25" t="s">
        <v>417</v>
      </c>
      <c r="E163" s="17" t="s">
        <v>38</v>
      </c>
      <c r="F163" s="14" t="n">
        <v>4907</v>
      </c>
      <c r="G163" s="15" t="n">
        <v>45414</v>
      </c>
      <c r="H163" s="5" t="s">
        <v>24</v>
      </c>
      <c r="I163" s="9" t="s">
        <v>25</v>
      </c>
      <c r="J163" s="9" t="s">
        <v>25</v>
      </c>
      <c r="K163" s="9" t="s">
        <v>25</v>
      </c>
      <c r="L163" s="9" t="s">
        <v>25</v>
      </c>
      <c r="M163" s="9" t="s">
        <v>25</v>
      </c>
      <c r="N163" s="9" t="n">
        <v>2</v>
      </c>
      <c r="O163" s="9" t="n">
        <v>6</v>
      </c>
      <c r="P163" s="9" t="n">
        <v>2</v>
      </c>
      <c r="Q163" s="9"/>
      <c r="R163" s="9"/>
      <c r="S163" s="9" t="n">
        <f aca="false">O163-P163-Q163-R163</f>
        <v>4</v>
      </c>
    </row>
    <row r="164" customFormat="false" ht="15" hidden="false" customHeight="false" outlineLevel="0" collapsed="false">
      <c r="A164" s="16" t="s">
        <v>19</v>
      </c>
      <c r="B164" s="4" t="s">
        <v>418</v>
      </c>
      <c r="C164" s="16" t="s">
        <v>209</v>
      </c>
      <c r="D164" s="26" t="s">
        <v>419</v>
      </c>
      <c r="E164" s="17" t="s">
        <v>420</v>
      </c>
      <c r="F164" s="14" t="n">
        <v>217</v>
      </c>
      <c r="G164" s="15" t="n">
        <v>45414</v>
      </c>
      <c r="H164" s="5" t="s">
        <v>24</v>
      </c>
      <c r="I164" s="9" t="n">
        <v>2</v>
      </c>
      <c r="J164" s="9" t="s">
        <v>25</v>
      </c>
      <c r="K164" s="9" t="s">
        <v>25</v>
      </c>
      <c r="L164" s="9" t="s">
        <v>25</v>
      </c>
      <c r="M164" s="9" t="s">
        <v>25</v>
      </c>
      <c r="N164" s="9" t="s">
        <v>25</v>
      </c>
      <c r="O164" s="9" t="n">
        <v>2</v>
      </c>
      <c r="P164" s="9"/>
      <c r="Q164" s="9" t="n">
        <v>2</v>
      </c>
      <c r="R164" s="9"/>
      <c r="S164" s="9" t="n">
        <f aca="false">O164-P164-Q164-R164</f>
        <v>0</v>
      </c>
    </row>
    <row r="165" customFormat="false" ht="15" hidden="false" customHeight="false" outlineLevel="0" collapsed="false">
      <c r="A165" s="16" t="s">
        <v>19</v>
      </c>
      <c r="B165" s="4" t="s">
        <v>421</v>
      </c>
      <c r="C165" s="16" t="s">
        <v>209</v>
      </c>
      <c r="D165" s="26" t="s">
        <v>422</v>
      </c>
      <c r="E165" s="17" t="s">
        <v>423</v>
      </c>
      <c r="F165" s="14" t="n">
        <v>99</v>
      </c>
      <c r="G165" s="15" t="n">
        <v>45414</v>
      </c>
      <c r="H165" s="5" t="s">
        <v>24</v>
      </c>
      <c r="I165" s="9" t="n">
        <v>1</v>
      </c>
      <c r="J165" s="9" t="s">
        <v>25</v>
      </c>
      <c r="K165" s="9" t="s">
        <v>25</v>
      </c>
      <c r="L165" s="9" t="s">
        <v>25</v>
      </c>
      <c r="M165" s="9" t="s">
        <v>25</v>
      </c>
      <c r="N165" s="9" t="s">
        <v>25</v>
      </c>
      <c r="O165" s="9" t="n">
        <v>1</v>
      </c>
      <c r="P165" s="9"/>
      <c r="Q165" s="9" t="n">
        <v>1</v>
      </c>
      <c r="R165" s="9"/>
      <c r="S165" s="9" t="n">
        <f aca="false">O165-P165-Q165-R165</f>
        <v>0</v>
      </c>
    </row>
    <row r="166" customFormat="false" ht="15" hidden="false" customHeight="false" outlineLevel="0" collapsed="false">
      <c r="A166" s="16" t="s">
        <v>19</v>
      </c>
      <c r="B166" s="4" t="s">
        <v>424</v>
      </c>
      <c r="C166" s="16" t="s">
        <v>137</v>
      </c>
      <c r="D166" s="25" t="s">
        <v>425</v>
      </c>
      <c r="E166" s="17" t="s">
        <v>117</v>
      </c>
      <c r="F166" s="14" t="n">
        <v>2999</v>
      </c>
      <c r="G166" s="15" t="n">
        <v>45414</v>
      </c>
      <c r="H166" s="5" t="s">
        <v>24</v>
      </c>
      <c r="I166" s="9" t="s">
        <v>25</v>
      </c>
      <c r="J166" s="9" t="s">
        <v>25</v>
      </c>
      <c r="K166" s="9" t="s">
        <v>25</v>
      </c>
      <c r="L166" s="9" t="s">
        <v>25</v>
      </c>
      <c r="M166" s="9" t="s">
        <v>25</v>
      </c>
      <c r="N166" s="9" t="n">
        <v>6</v>
      </c>
      <c r="O166" s="9" t="n">
        <v>0</v>
      </c>
      <c r="P166" s="9"/>
      <c r="Q166" s="9"/>
      <c r="R166" s="9"/>
      <c r="S166" s="9" t="n">
        <f aca="false">O166-P166-Q166-R166</f>
        <v>0</v>
      </c>
    </row>
    <row r="167" customFormat="false" ht="15" hidden="false" customHeight="false" outlineLevel="0" collapsed="false">
      <c r="A167" s="16" t="s">
        <v>19</v>
      </c>
      <c r="B167" s="4" t="s">
        <v>426</v>
      </c>
      <c r="C167" s="16" t="s">
        <v>137</v>
      </c>
      <c r="D167" s="25" t="s">
        <v>427</v>
      </c>
      <c r="E167" s="17" t="s">
        <v>117</v>
      </c>
      <c r="F167" s="14" t="n">
        <v>1995</v>
      </c>
      <c r="G167" s="15" t="n">
        <v>45414</v>
      </c>
      <c r="H167" s="5" t="s">
        <v>24</v>
      </c>
      <c r="I167" s="9" t="s">
        <v>25</v>
      </c>
      <c r="J167" s="9" t="s">
        <v>25</v>
      </c>
      <c r="K167" s="9" t="s">
        <v>25</v>
      </c>
      <c r="L167" s="9" t="s">
        <v>25</v>
      </c>
      <c r="M167" s="9" t="s">
        <v>25</v>
      </c>
      <c r="N167" s="9" t="n">
        <v>3</v>
      </c>
      <c r="O167" s="9" t="n">
        <v>5</v>
      </c>
      <c r="P167" s="9"/>
      <c r="Q167" s="9"/>
      <c r="R167" s="9"/>
      <c r="S167" s="9" t="n">
        <f aca="false">O167-P167-Q167-R167</f>
        <v>5</v>
      </c>
    </row>
    <row r="168" customFormat="false" ht="15" hidden="false" customHeight="false" outlineLevel="0" collapsed="false">
      <c r="A168" s="16" t="s">
        <v>19</v>
      </c>
      <c r="B168" s="4" t="s">
        <v>428</v>
      </c>
      <c r="C168" s="16" t="s">
        <v>137</v>
      </c>
      <c r="D168" s="25" t="s">
        <v>429</v>
      </c>
      <c r="E168" s="17" t="s">
        <v>117</v>
      </c>
      <c r="F168" s="14" t="n">
        <v>1995</v>
      </c>
      <c r="G168" s="15" t="n">
        <v>45414</v>
      </c>
      <c r="H168" s="5" t="s">
        <v>24</v>
      </c>
      <c r="I168" s="9" t="s">
        <v>25</v>
      </c>
      <c r="J168" s="9" t="s">
        <v>25</v>
      </c>
      <c r="K168" s="9" t="s">
        <v>25</v>
      </c>
      <c r="L168" s="9" t="s">
        <v>25</v>
      </c>
      <c r="M168" s="9" t="s">
        <v>25</v>
      </c>
      <c r="N168" s="9" t="n">
        <v>3</v>
      </c>
      <c r="O168" s="9" t="n">
        <v>5</v>
      </c>
      <c r="P168" s="9"/>
      <c r="Q168" s="9"/>
      <c r="R168" s="9"/>
      <c r="S168" s="9" t="n">
        <f aca="false">O168-P168-Q168-R168</f>
        <v>5</v>
      </c>
    </row>
    <row r="169" customFormat="false" ht="15" hidden="false" customHeight="false" outlineLevel="0" collapsed="false">
      <c r="A169" s="16" t="s">
        <v>215</v>
      </c>
      <c r="B169" s="4" t="s">
        <v>430</v>
      </c>
      <c r="C169" s="16" t="s">
        <v>431</v>
      </c>
      <c r="D169" s="25" t="s">
        <v>432</v>
      </c>
      <c r="E169" s="17" t="s">
        <v>433</v>
      </c>
      <c r="F169" s="14" t="n">
        <v>90000</v>
      </c>
      <c r="G169" s="17" t="s">
        <v>65</v>
      </c>
      <c r="H169" s="5" t="s">
        <v>24</v>
      </c>
      <c r="I169" s="16" t="s">
        <v>67</v>
      </c>
      <c r="J169" s="16" t="s">
        <v>67</v>
      </c>
      <c r="K169" s="16" t="s">
        <v>67</v>
      </c>
      <c r="L169" s="16" t="s">
        <v>67</v>
      </c>
      <c r="M169" s="16" t="s">
        <v>67</v>
      </c>
      <c r="N169" s="16" t="s">
        <v>67</v>
      </c>
      <c r="O169" s="16" t="n">
        <v>0</v>
      </c>
      <c r="P169" s="9"/>
      <c r="Q169" s="9"/>
      <c r="R169" s="9"/>
      <c r="S169" s="9" t="n">
        <f aca="false">O169-P169-Q169-R169</f>
        <v>0</v>
      </c>
    </row>
    <row r="170" customFormat="false" ht="15" hidden="false" customHeight="false" outlineLevel="0" collapsed="false">
      <c r="A170" s="16" t="s">
        <v>215</v>
      </c>
      <c r="B170" s="4" t="s">
        <v>434</v>
      </c>
      <c r="C170" s="16" t="s">
        <v>435</v>
      </c>
      <c r="D170" s="25" t="s">
        <v>436</v>
      </c>
      <c r="E170" s="17" t="s">
        <v>433</v>
      </c>
      <c r="F170" s="14" t="n">
        <v>35000</v>
      </c>
      <c r="G170" s="17" t="s">
        <v>65</v>
      </c>
      <c r="H170" s="5" t="s">
        <v>24</v>
      </c>
      <c r="I170" s="16" t="s">
        <v>67</v>
      </c>
      <c r="J170" s="16" t="s">
        <v>67</v>
      </c>
      <c r="K170" s="16" t="s">
        <v>67</v>
      </c>
      <c r="L170" s="16" t="s">
        <v>67</v>
      </c>
      <c r="M170" s="16" t="s">
        <v>67</v>
      </c>
      <c r="N170" s="16" t="s">
        <v>67</v>
      </c>
      <c r="O170" s="16" t="n">
        <v>0</v>
      </c>
      <c r="P170" s="9"/>
      <c r="Q170" s="9"/>
      <c r="R170" s="9"/>
      <c r="S170" s="9" t="n">
        <f aca="false">O170-P170-Q170-R170</f>
        <v>0</v>
      </c>
    </row>
    <row r="171" customFormat="false" ht="15" hidden="false" customHeight="false" outlineLevel="0" collapsed="false">
      <c r="A171" s="16" t="s">
        <v>19</v>
      </c>
      <c r="B171" s="27" t="s">
        <v>437</v>
      </c>
      <c r="C171" s="16" t="s">
        <v>79</v>
      </c>
      <c r="D171" s="25" t="s">
        <v>438</v>
      </c>
      <c r="E171" s="17" t="s">
        <v>70</v>
      </c>
      <c r="F171" s="14" t="n">
        <v>38903.81</v>
      </c>
      <c r="G171" s="15" t="n">
        <v>45425</v>
      </c>
      <c r="H171" s="5" t="s">
        <v>24</v>
      </c>
      <c r="I171" s="16" t="s">
        <v>25</v>
      </c>
      <c r="J171" s="16" t="s">
        <v>25</v>
      </c>
      <c r="K171" s="16" t="s">
        <v>25</v>
      </c>
      <c r="L171" s="16" t="s">
        <v>25</v>
      </c>
      <c r="M171" s="16" t="s">
        <v>25</v>
      </c>
      <c r="N171" s="16" t="n">
        <v>1</v>
      </c>
      <c r="O171" s="16" t="n">
        <v>1</v>
      </c>
      <c r="P171" s="9" t="n">
        <v>0</v>
      </c>
      <c r="Q171" s="9" t="n">
        <v>0</v>
      </c>
      <c r="R171" s="9" t="n">
        <v>0</v>
      </c>
      <c r="S171" s="9" t="n">
        <f aca="false">O171-P171-Q171-R171</f>
        <v>1</v>
      </c>
    </row>
    <row r="172" customFormat="false" ht="15" hidden="false" customHeight="false" outlineLevel="0" collapsed="false">
      <c r="A172" s="16" t="s">
        <v>19</v>
      </c>
      <c r="B172" s="4" t="s">
        <v>439</v>
      </c>
      <c r="C172" s="16" t="s">
        <v>36</v>
      </c>
      <c r="D172" s="25" t="s">
        <v>440</v>
      </c>
      <c r="E172" s="17" t="s">
        <v>70</v>
      </c>
      <c r="F172" s="14" t="n">
        <v>7316.95</v>
      </c>
      <c r="G172" s="15" t="n">
        <v>45425</v>
      </c>
      <c r="H172" s="5" t="s">
        <v>24</v>
      </c>
      <c r="I172" s="16" t="s">
        <v>67</v>
      </c>
      <c r="J172" s="16" t="s">
        <v>67</v>
      </c>
      <c r="K172" s="16" t="s">
        <v>67</v>
      </c>
      <c r="L172" s="16" t="s">
        <v>67</v>
      </c>
      <c r="M172" s="16" t="s">
        <v>67</v>
      </c>
      <c r="N172" s="16" t="s">
        <v>67</v>
      </c>
      <c r="O172" s="16" t="n">
        <v>2</v>
      </c>
      <c r="P172" s="9" t="n">
        <v>2</v>
      </c>
      <c r="Q172" s="9" t="n">
        <v>0</v>
      </c>
      <c r="R172" s="9" t="n">
        <v>0</v>
      </c>
      <c r="S172" s="9" t="n">
        <f aca="false">O172-P172-Q172-R172</f>
        <v>0</v>
      </c>
    </row>
    <row r="173" customFormat="false" ht="15" hidden="false" customHeight="false" outlineLevel="0" collapsed="false">
      <c r="A173" s="16" t="s">
        <v>19</v>
      </c>
      <c r="B173" s="4" t="s">
        <v>441</v>
      </c>
      <c r="C173" s="16" t="s">
        <v>79</v>
      </c>
      <c r="D173" s="25" t="s">
        <v>442</v>
      </c>
      <c r="E173" s="17" t="s">
        <v>23</v>
      </c>
      <c r="F173" s="14" t="n">
        <v>4000</v>
      </c>
      <c r="G173" s="15" t="n">
        <v>45426</v>
      </c>
      <c r="H173" s="5" t="s">
        <v>24</v>
      </c>
      <c r="I173" s="16" t="s">
        <v>25</v>
      </c>
      <c r="J173" s="16" t="s">
        <v>25</v>
      </c>
      <c r="K173" s="16" t="s">
        <v>25</v>
      </c>
      <c r="L173" s="16" t="s">
        <v>25</v>
      </c>
      <c r="M173" s="16" t="s">
        <v>25</v>
      </c>
      <c r="N173" s="16" t="n">
        <v>6</v>
      </c>
      <c r="O173" s="16" t="n">
        <v>24</v>
      </c>
      <c r="P173" s="9" t="n">
        <v>12</v>
      </c>
      <c r="Q173" s="9" t="n">
        <v>0</v>
      </c>
      <c r="R173" s="9" t="n">
        <v>0</v>
      </c>
      <c r="S173" s="9" t="n">
        <f aca="false">O173-P173-Q173-R173</f>
        <v>12</v>
      </c>
    </row>
    <row r="174" customFormat="false" ht="15" hidden="false" customHeight="false" outlineLevel="0" collapsed="false">
      <c r="A174" s="16" t="s">
        <v>215</v>
      </c>
      <c r="B174" s="4" t="s">
        <v>443</v>
      </c>
      <c r="C174" s="16" t="s">
        <v>217</v>
      </c>
      <c r="D174" s="25" t="s">
        <v>444</v>
      </c>
      <c r="E174" s="17" t="s">
        <v>245</v>
      </c>
      <c r="F174" s="14" t="n">
        <v>4420</v>
      </c>
      <c r="G174" s="15" t="n">
        <v>45426</v>
      </c>
      <c r="H174" s="5" t="s">
        <v>24</v>
      </c>
      <c r="I174" s="16" t="s">
        <v>67</v>
      </c>
      <c r="J174" s="16" t="s">
        <v>67</v>
      </c>
      <c r="K174" s="16" t="s">
        <v>25</v>
      </c>
      <c r="L174" s="16" t="s">
        <v>67</v>
      </c>
      <c r="M174" s="16" t="s">
        <v>25</v>
      </c>
      <c r="N174" s="16" t="n">
        <v>1</v>
      </c>
      <c r="O174" s="16" t="n">
        <v>0</v>
      </c>
      <c r="P174" s="9"/>
      <c r="Q174" s="9"/>
      <c r="R174" s="9"/>
      <c r="S174" s="9" t="n">
        <f aca="false">O174-P174-Q174-R174</f>
        <v>0</v>
      </c>
    </row>
    <row r="175" customFormat="false" ht="15" hidden="false" customHeight="false" outlineLevel="0" collapsed="false">
      <c r="A175" s="16" t="s">
        <v>215</v>
      </c>
      <c r="B175" s="4" t="s">
        <v>445</v>
      </c>
      <c r="C175" s="22" t="s">
        <v>243</v>
      </c>
      <c r="D175" s="10" t="s">
        <v>446</v>
      </c>
      <c r="E175" s="17" t="s">
        <v>70</v>
      </c>
      <c r="F175" s="14" t="n">
        <v>39047</v>
      </c>
      <c r="G175" s="15" t="n">
        <v>45499</v>
      </c>
      <c r="H175" s="5" t="s">
        <v>24</v>
      </c>
      <c r="I175" s="16" t="s">
        <v>67</v>
      </c>
      <c r="J175" s="16" t="s">
        <v>67</v>
      </c>
      <c r="K175" s="16" t="s">
        <v>25</v>
      </c>
      <c r="L175" s="16" t="s">
        <v>25</v>
      </c>
      <c r="M175" s="16" t="s">
        <v>25</v>
      </c>
      <c r="N175" s="16" t="s">
        <v>25</v>
      </c>
      <c r="O175" s="16" t="n">
        <v>1</v>
      </c>
      <c r="P175" s="9"/>
      <c r="Q175" s="9"/>
      <c r="R175" s="9" t="n">
        <v>1</v>
      </c>
      <c r="S175" s="9" t="n">
        <f aca="false">O175-P175-Q175-R175</f>
        <v>0</v>
      </c>
    </row>
    <row r="176" customFormat="false" ht="15" hidden="false" customHeight="false" outlineLevel="0" collapsed="false">
      <c r="A176" s="9" t="s">
        <v>135</v>
      </c>
      <c r="B176" s="4" t="s">
        <v>447</v>
      </c>
      <c r="C176" s="9" t="s">
        <v>195</v>
      </c>
      <c r="D176" s="6" t="s">
        <v>448</v>
      </c>
      <c r="E176" s="5" t="s">
        <v>70</v>
      </c>
      <c r="F176" s="14" t="n">
        <v>599</v>
      </c>
      <c r="G176" s="15" t="n">
        <v>45414</v>
      </c>
      <c r="H176" s="5" t="s">
        <v>24</v>
      </c>
      <c r="I176" s="9" t="n">
        <v>1</v>
      </c>
      <c r="J176" s="9" t="n">
        <v>1</v>
      </c>
      <c r="K176" s="9" t="n">
        <v>1</v>
      </c>
      <c r="L176" s="9" t="s">
        <v>67</v>
      </c>
      <c r="M176" s="9" t="s">
        <v>25</v>
      </c>
      <c r="N176" s="9" t="n">
        <v>1</v>
      </c>
      <c r="O176" s="16" t="n">
        <v>4</v>
      </c>
      <c r="P176" s="9"/>
      <c r="Q176" s="9"/>
      <c r="R176" s="9" t="n">
        <v>2</v>
      </c>
      <c r="S176" s="9" t="n">
        <f aca="false">O176-P176-Q176-R176</f>
        <v>2</v>
      </c>
    </row>
    <row r="177" customFormat="false" ht="15" hidden="false" customHeight="false" outlineLevel="0" collapsed="false">
      <c r="A177" s="9" t="s">
        <v>135</v>
      </c>
      <c r="B177" s="4" t="s">
        <v>449</v>
      </c>
      <c r="C177" s="16" t="s">
        <v>209</v>
      </c>
      <c r="D177" s="6" t="s">
        <v>450</v>
      </c>
      <c r="E177" s="5" t="s">
        <v>70</v>
      </c>
      <c r="F177" s="28" t="n">
        <v>29.661</v>
      </c>
      <c r="G177" s="15" t="n">
        <v>45422</v>
      </c>
      <c r="H177" s="5" t="s">
        <v>24</v>
      </c>
      <c r="I177" s="9" t="n">
        <v>5</v>
      </c>
      <c r="J177" s="9" t="n">
        <v>5</v>
      </c>
      <c r="K177" s="9" t="n">
        <v>5</v>
      </c>
      <c r="L177" s="9" t="n">
        <v>5</v>
      </c>
      <c r="M177" s="9" t="n">
        <v>1</v>
      </c>
      <c r="N177" s="9" t="n">
        <v>1</v>
      </c>
      <c r="O177" s="16" t="n">
        <v>10</v>
      </c>
      <c r="P177" s="9"/>
      <c r="Q177" s="9"/>
      <c r="R177" s="9" t="n">
        <v>10</v>
      </c>
      <c r="S177" s="9" t="n">
        <f aca="false">O177-P177-Q177-R177</f>
        <v>0</v>
      </c>
    </row>
    <row r="178" customFormat="false" ht="15" hidden="false" customHeight="false" outlineLevel="0" collapsed="false">
      <c r="A178" s="9" t="s">
        <v>135</v>
      </c>
      <c r="B178" s="4" t="s">
        <v>451</v>
      </c>
      <c r="C178" s="16" t="s">
        <v>209</v>
      </c>
      <c r="D178" s="6" t="s">
        <v>452</v>
      </c>
      <c r="E178" s="5" t="s">
        <v>70</v>
      </c>
      <c r="F178" s="28" t="n">
        <v>29.661</v>
      </c>
      <c r="G178" s="15" t="n">
        <v>45422</v>
      </c>
      <c r="H178" s="5" t="s">
        <v>24</v>
      </c>
      <c r="I178" s="9" t="n">
        <v>5</v>
      </c>
      <c r="J178" s="9" t="n">
        <v>5</v>
      </c>
      <c r="K178" s="9" t="n">
        <v>5</v>
      </c>
      <c r="L178" s="9" t="n">
        <v>5</v>
      </c>
      <c r="M178" s="9" t="n">
        <v>1</v>
      </c>
      <c r="N178" s="9" t="n">
        <v>1</v>
      </c>
      <c r="O178" s="16" t="n">
        <v>10</v>
      </c>
      <c r="P178" s="9"/>
      <c r="Q178" s="9"/>
      <c r="R178" s="9" t="n">
        <v>10</v>
      </c>
      <c r="S178" s="9" t="n">
        <f aca="false">O178-P178-Q178-R178</f>
        <v>0</v>
      </c>
    </row>
    <row r="179" customFormat="false" ht="15" hidden="false" customHeight="false" outlineLevel="0" collapsed="false">
      <c r="A179" s="9" t="s">
        <v>135</v>
      </c>
      <c r="B179" s="4" t="s">
        <v>453</v>
      </c>
      <c r="C179" s="16" t="s">
        <v>181</v>
      </c>
      <c r="D179" s="26" t="s">
        <v>454</v>
      </c>
      <c r="E179" s="25" t="s">
        <v>455</v>
      </c>
      <c r="F179" s="14" t="n">
        <v>13900</v>
      </c>
      <c r="G179" s="15" t="n">
        <v>45421</v>
      </c>
      <c r="H179" s="5" t="s">
        <v>24</v>
      </c>
      <c r="I179" s="9" t="s">
        <v>25</v>
      </c>
      <c r="J179" s="9" t="s">
        <v>25</v>
      </c>
      <c r="K179" s="9" t="s">
        <v>25</v>
      </c>
      <c r="L179" s="9" t="s">
        <v>25</v>
      </c>
      <c r="M179" s="9" t="s">
        <v>25</v>
      </c>
      <c r="N179" s="9" t="n">
        <v>3</v>
      </c>
      <c r="O179" s="16" t="n">
        <v>4</v>
      </c>
      <c r="P179" s="9"/>
      <c r="Q179" s="9"/>
      <c r="R179" s="9" t="n">
        <v>4</v>
      </c>
      <c r="S179" s="9" t="n">
        <f aca="false">O179-P179-Q179-R179</f>
        <v>0</v>
      </c>
    </row>
    <row r="180" customFormat="false" ht="15" hidden="false" customHeight="false" outlineLevel="0" collapsed="false">
      <c r="A180" s="9" t="s">
        <v>135</v>
      </c>
      <c r="B180" s="4" t="s">
        <v>456</v>
      </c>
      <c r="C180" s="16" t="s">
        <v>181</v>
      </c>
      <c r="D180" s="26" t="s">
        <v>457</v>
      </c>
      <c r="E180" s="25" t="s">
        <v>455</v>
      </c>
      <c r="F180" s="14" t="n">
        <v>13900</v>
      </c>
      <c r="G180" s="15" t="n">
        <v>45421</v>
      </c>
      <c r="H180" s="5" t="s">
        <v>24</v>
      </c>
      <c r="I180" s="9" t="s">
        <v>25</v>
      </c>
      <c r="J180" s="9" t="s">
        <v>25</v>
      </c>
      <c r="K180" s="9" t="s">
        <v>25</v>
      </c>
      <c r="L180" s="9" t="s">
        <v>25</v>
      </c>
      <c r="M180" s="9" t="s">
        <v>25</v>
      </c>
      <c r="N180" s="9" t="n">
        <v>3</v>
      </c>
      <c r="O180" s="16" t="n">
        <v>4</v>
      </c>
      <c r="P180" s="9"/>
      <c r="Q180" s="9"/>
      <c r="R180" s="9" t="n">
        <v>4</v>
      </c>
      <c r="S180" s="9" t="n">
        <f aca="false">O180-P180-Q180-R180</f>
        <v>0</v>
      </c>
    </row>
    <row r="181" customFormat="false" ht="15" hidden="false" customHeight="false" outlineLevel="0" collapsed="false">
      <c r="A181" s="9" t="s">
        <v>19</v>
      </c>
      <c r="B181" s="4" t="s">
        <v>458</v>
      </c>
      <c r="C181" s="16" t="s">
        <v>79</v>
      </c>
      <c r="D181" s="6" t="s">
        <v>459</v>
      </c>
      <c r="E181" s="25" t="s">
        <v>455</v>
      </c>
      <c r="F181" s="14" t="n">
        <v>388</v>
      </c>
      <c r="G181" s="15" t="n">
        <v>45421</v>
      </c>
      <c r="H181" s="5" t="s">
        <v>24</v>
      </c>
      <c r="I181" s="9" t="s">
        <v>25</v>
      </c>
      <c r="J181" s="9" t="s">
        <v>25</v>
      </c>
      <c r="K181" s="9" t="s">
        <v>25</v>
      </c>
      <c r="L181" s="9" t="s">
        <v>25</v>
      </c>
      <c r="M181" s="9" t="s">
        <v>25</v>
      </c>
      <c r="N181" s="16" t="n">
        <v>1</v>
      </c>
      <c r="O181" s="16" t="n">
        <v>3</v>
      </c>
      <c r="P181" s="9" t="n">
        <v>2</v>
      </c>
      <c r="Q181" s="9" t="n">
        <v>0</v>
      </c>
      <c r="R181" s="9" t="n">
        <v>0</v>
      </c>
      <c r="S181" s="9" t="n">
        <f aca="false">O181-P181-Q181-R181</f>
        <v>1</v>
      </c>
    </row>
    <row r="182" customFormat="false" ht="15" hidden="false" customHeight="false" outlineLevel="0" collapsed="false">
      <c r="A182" s="16" t="s">
        <v>215</v>
      </c>
      <c r="B182" s="4" t="s">
        <v>460</v>
      </c>
      <c r="C182" s="16" t="s">
        <v>200</v>
      </c>
      <c r="D182" s="25" t="s">
        <v>461</v>
      </c>
      <c r="E182" s="17" t="s">
        <v>245</v>
      </c>
      <c r="F182" s="14" t="n">
        <v>3900</v>
      </c>
      <c r="G182" s="15" t="n">
        <v>45427</v>
      </c>
      <c r="H182" s="5" t="s">
        <v>24</v>
      </c>
      <c r="I182" s="16" t="s">
        <v>67</v>
      </c>
      <c r="J182" s="16" t="s">
        <v>67</v>
      </c>
      <c r="K182" s="16" t="s">
        <v>67</v>
      </c>
      <c r="L182" s="16" t="s">
        <v>67</v>
      </c>
      <c r="M182" s="16" t="s">
        <v>25</v>
      </c>
      <c r="N182" s="16" t="s">
        <v>67</v>
      </c>
      <c r="O182" s="16" t="n">
        <v>2</v>
      </c>
      <c r="P182" s="9" t="n">
        <v>1</v>
      </c>
      <c r="Q182" s="9"/>
      <c r="R182" s="9"/>
      <c r="S182" s="9" t="n">
        <f aca="false">O182-P182-Q182-R182</f>
        <v>1</v>
      </c>
    </row>
    <row r="183" customFormat="false" ht="15" hidden="false" customHeight="false" outlineLevel="0" collapsed="false">
      <c r="A183" s="16" t="s">
        <v>215</v>
      </c>
      <c r="B183" s="4" t="s">
        <v>462</v>
      </c>
      <c r="C183" s="16" t="s">
        <v>209</v>
      </c>
      <c r="D183" s="25" t="s">
        <v>463</v>
      </c>
      <c r="E183" s="17" t="s">
        <v>245</v>
      </c>
      <c r="F183" s="14" t="n">
        <v>500</v>
      </c>
      <c r="G183" s="15" t="n">
        <v>45427</v>
      </c>
      <c r="H183" s="5" t="s">
        <v>24</v>
      </c>
      <c r="I183" s="16" t="s">
        <v>67</v>
      </c>
      <c r="J183" s="16" t="s">
        <v>67</v>
      </c>
      <c r="K183" s="16" t="s">
        <v>67</v>
      </c>
      <c r="L183" s="16" t="s">
        <v>67</v>
      </c>
      <c r="M183" s="16" t="s">
        <v>25</v>
      </c>
      <c r="N183" s="16" t="s">
        <v>67</v>
      </c>
      <c r="O183" s="16" t="n">
        <v>2</v>
      </c>
      <c r="P183" s="9"/>
      <c r="Q183" s="9"/>
      <c r="R183" s="9"/>
      <c r="S183" s="9" t="n">
        <f aca="false">O183-P183-Q183-R183</f>
        <v>2</v>
      </c>
    </row>
    <row r="184" customFormat="false" ht="15" hidden="false" customHeight="false" outlineLevel="0" collapsed="false">
      <c r="A184" s="16" t="s">
        <v>215</v>
      </c>
      <c r="B184" s="4" t="s">
        <v>464</v>
      </c>
      <c r="C184" s="16" t="s">
        <v>217</v>
      </c>
      <c r="D184" s="25" t="s">
        <v>465</v>
      </c>
      <c r="E184" s="16" t="s">
        <v>70</v>
      </c>
      <c r="F184" s="14" t="n">
        <v>224</v>
      </c>
      <c r="G184" s="15" t="n">
        <v>45427</v>
      </c>
      <c r="H184" s="5" t="s">
        <v>24</v>
      </c>
      <c r="I184" s="16" t="s">
        <v>25</v>
      </c>
      <c r="J184" s="16" t="s">
        <v>25</v>
      </c>
      <c r="K184" s="16" t="s">
        <v>25</v>
      </c>
      <c r="L184" s="16" t="s">
        <v>25</v>
      </c>
      <c r="M184" s="16" t="s">
        <v>25</v>
      </c>
      <c r="N184" s="16" t="n">
        <v>1</v>
      </c>
      <c r="O184" s="16" t="n">
        <v>3</v>
      </c>
      <c r="P184" s="9" t="n">
        <v>1</v>
      </c>
      <c r="Q184" s="9"/>
      <c r="R184" s="9"/>
      <c r="S184" s="9" t="n">
        <f aca="false">O184-P184-Q184-R184</f>
        <v>2</v>
      </c>
    </row>
    <row r="185" customFormat="false" ht="15" hidden="false" customHeight="false" outlineLevel="0" collapsed="false">
      <c r="A185" s="17" t="s">
        <v>215</v>
      </c>
      <c r="B185" s="4" t="s">
        <v>466</v>
      </c>
      <c r="C185" s="17" t="s">
        <v>217</v>
      </c>
      <c r="D185" s="29" t="s">
        <v>467</v>
      </c>
      <c r="E185" s="17" t="s">
        <v>70</v>
      </c>
      <c r="F185" s="14" t="n">
        <v>600</v>
      </c>
      <c r="G185" s="15" t="n">
        <v>45435</v>
      </c>
      <c r="H185" s="5" t="s">
        <v>24</v>
      </c>
      <c r="I185" s="16" t="s">
        <v>25</v>
      </c>
      <c r="J185" s="16" t="s">
        <v>25</v>
      </c>
      <c r="K185" s="16" t="s">
        <v>25</v>
      </c>
      <c r="L185" s="16" t="s">
        <v>25</v>
      </c>
      <c r="M185" s="16" t="s">
        <v>25</v>
      </c>
      <c r="N185" s="16" t="n">
        <v>1</v>
      </c>
      <c r="O185" s="16" t="n">
        <v>2</v>
      </c>
      <c r="P185" s="9" t="n">
        <v>1</v>
      </c>
      <c r="Q185" s="9"/>
      <c r="R185" s="9"/>
      <c r="S185" s="9" t="n">
        <f aca="false">O185-P185-Q185-R185</f>
        <v>1</v>
      </c>
    </row>
    <row r="186" customFormat="false" ht="15" hidden="false" customHeight="false" outlineLevel="0" collapsed="false">
      <c r="A186" s="17" t="s">
        <v>215</v>
      </c>
      <c r="B186" s="4" t="s">
        <v>468</v>
      </c>
      <c r="C186" s="16" t="s">
        <v>209</v>
      </c>
      <c r="D186" s="26" t="s">
        <v>469</v>
      </c>
      <c r="E186" s="17" t="s">
        <v>70</v>
      </c>
      <c r="F186" s="14" t="n">
        <v>669</v>
      </c>
      <c r="G186" s="15" t="n">
        <v>45436</v>
      </c>
      <c r="H186" s="5" t="s">
        <v>24</v>
      </c>
      <c r="I186" s="16" t="s">
        <v>25</v>
      </c>
      <c r="J186" s="16" t="s">
        <v>25</v>
      </c>
      <c r="K186" s="16" t="s">
        <v>25</v>
      </c>
      <c r="L186" s="16" t="s">
        <v>25</v>
      </c>
      <c r="M186" s="16" t="s">
        <v>25</v>
      </c>
      <c r="N186" s="16" t="n">
        <v>1</v>
      </c>
      <c r="O186" s="16" t="n">
        <v>2</v>
      </c>
      <c r="P186" s="9"/>
      <c r="Q186" s="9"/>
      <c r="R186" s="9"/>
      <c r="S186" s="9" t="n">
        <f aca="false">O186-P186-Q186-R186</f>
        <v>2</v>
      </c>
    </row>
    <row r="187" customFormat="false" ht="15" hidden="false" customHeight="false" outlineLevel="0" collapsed="false">
      <c r="A187" s="16" t="s">
        <v>135</v>
      </c>
      <c r="B187" s="4" t="s">
        <v>470</v>
      </c>
      <c r="C187" s="16" t="s">
        <v>152</v>
      </c>
      <c r="D187" s="25" t="s">
        <v>471</v>
      </c>
      <c r="E187" s="17" t="s">
        <v>455</v>
      </c>
      <c r="F187" s="14" t="n">
        <v>18000</v>
      </c>
      <c r="G187" s="15" t="n">
        <v>45447</v>
      </c>
      <c r="H187" s="5" t="s">
        <v>24</v>
      </c>
      <c r="I187" s="16" t="s">
        <v>25</v>
      </c>
      <c r="J187" s="16" t="s">
        <v>25</v>
      </c>
      <c r="K187" s="16" t="s">
        <v>25</v>
      </c>
      <c r="L187" s="16" t="s">
        <v>25</v>
      </c>
      <c r="M187" s="16" t="s">
        <v>25</v>
      </c>
      <c r="N187" s="16" t="n">
        <v>2</v>
      </c>
      <c r="O187" s="16" t="n">
        <v>4</v>
      </c>
      <c r="P187" s="25"/>
      <c r="Q187" s="25"/>
      <c r="R187" s="25"/>
      <c r="S187" s="16" t="n">
        <f aca="false">O187-P187-Q187-R187</f>
        <v>4</v>
      </c>
    </row>
    <row r="188" customFormat="false" ht="15" hidden="false" customHeight="false" outlineLevel="0" collapsed="false">
      <c r="A188" s="16" t="s">
        <v>215</v>
      </c>
      <c r="B188" s="4" t="s">
        <v>472</v>
      </c>
      <c r="C188" s="16" t="s">
        <v>473</v>
      </c>
      <c r="D188" s="25" t="s">
        <v>474</v>
      </c>
      <c r="E188" s="17" t="s">
        <v>70</v>
      </c>
      <c r="F188" s="14" t="n">
        <v>1299</v>
      </c>
      <c r="G188" s="15" t="n">
        <v>45449</v>
      </c>
      <c r="H188" s="5" t="s">
        <v>24</v>
      </c>
      <c r="I188" s="16" t="s">
        <v>25</v>
      </c>
      <c r="J188" s="16" t="s">
        <v>25</v>
      </c>
      <c r="K188" s="16" t="s">
        <v>25</v>
      </c>
      <c r="L188" s="16" t="s">
        <v>25</v>
      </c>
      <c r="M188" s="16" t="n">
        <v>1</v>
      </c>
      <c r="N188" s="16" t="s">
        <v>25</v>
      </c>
      <c r="O188" s="16" t="n">
        <v>0</v>
      </c>
      <c r="P188" s="9" t="n">
        <v>0</v>
      </c>
      <c r="Q188" s="25"/>
      <c r="R188" s="25"/>
      <c r="S188" s="16" t="n">
        <v>0</v>
      </c>
    </row>
    <row r="189" customFormat="false" ht="15" hidden="false" customHeight="false" outlineLevel="0" collapsed="false">
      <c r="A189" s="16" t="s">
        <v>215</v>
      </c>
      <c r="B189" s="4" t="s">
        <v>475</v>
      </c>
      <c r="C189" s="16" t="s">
        <v>473</v>
      </c>
      <c r="D189" s="25" t="s">
        <v>476</v>
      </c>
      <c r="E189" s="17" t="s">
        <v>70</v>
      </c>
      <c r="F189" s="14" t="n">
        <v>1569</v>
      </c>
      <c r="G189" s="15" t="n">
        <v>45449</v>
      </c>
      <c r="H189" s="5" t="s">
        <v>24</v>
      </c>
      <c r="I189" s="16" t="s">
        <v>25</v>
      </c>
      <c r="J189" s="16" t="s">
        <v>25</v>
      </c>
      <c r="K189" s="16" t="s">
        <v>25</v>
      </c>
      <c r="L189" s="16" t="s">
        <v>25</v>
      </c>
      <c r="M189" s="16" t="n">
        <v>1</v>
      </c>
      <c r="N189" s="16" t="s">
        <v>25</v>
      </c>
      <c r="O189" s="16" t="n">
        <v>0</v>
      </c>
      <c r="P189" s="9" t="n">
        <v>0</v>
      </c>
      <c r="Q189" s="25"/>
      <c r="R189" s="25"/>
      <c r="S189" s="16" t="n">
        <v>0</v>
      </c>
    </row>
    <row r="190" customFormat="false" ht="15" hidden="false" customHeight="false" outlineLevel="0" collapsed="false">
      <c r="A190" s="16" t="s">
        <v>215</v>
      </c>
      <c r="B190" s="4" t="s">
        <v>477</v>
      </c>
      <c r="C190" s="16" t="s">
        <v>400</v>
      </c>
      <c r="D190" s="25" t="s">
        <v>478</v>
      </c>
      <c r="E190" s="17" t="s">
        <v>479</v>
      </c>
      <c r="F190" s="14" t="n">
        <v>336.44</v>
      </c>
      <c r="G190" s="15" t="n">
        <v>45449</v>
      </c>
      <c r="H190" s="5" t="s">
        <v>24</v>
      </c>
      <c r="I190" s="16" t="s">
        <v>25</v>
      </c>
      <c r="J190" s="16" t="s">
        <v>25</v>
      </c>
      <c r="K190" s="16" t="s">
        <v>25</v>
      </c>
      <c r="L190" s="16" t="s">
        <v>25</v>
      </c>
      <c r="M190" s="16" t="s">
        <v>25</v>
      </c>
      <c r="N190" s="16" t="s">
        <v>25</v>
      </c>
      <c r="O190" s="16" t="n">
        <v>0</v>
      </c>
      <c r="P190" s="25"/>
      <c r="Q190" s="25"/>
      <c r="R190" s="25"/>
      <c r="S190" s="16" t="n">
        <v>0</v>
      </c>
    </row>
    <row r="191" customFormat="false" ht="15" hidden="false" customHeight="false" outlineLevel="0" collapsed="false">
      <c r="A191" s="16" t="s">
        <v>19</v>
      </c>
      <c r="B191" s="4" t="s">
        <v>480</v>
      </c>
      <c r="C191" s="16" t="s">
        <v>79</v>
      </c>
      <c r="D191" s="25" t="s">
        <v>481</v>
      </c>
      <c r="E191" s="17" t="s">
        <v>482</v>
      </c>
      <c r="F191" s="14" t="n">
        <v>4.16</v>
      </c>
      <c r="G191" s="15" t="n">
        <v>45463</v>
      </c>
      <c r="H191" s="5" t="s">
        <v>24</v>
      </c>
      <c r="I191" s="16" t="s">
        <v>39</v>
      </c>
      <c r="J191" s="16" t="s">
        <v>39</v>
      </c>
      <c r="K191" s="16" t="s">
        <v>39</v>
      </c>
      <c r="L191" s="16" t="s">
        <v>39</v>
      </c>
      <c r="M191" s="16" t="s">
        <v>39</v>
      </c>
      <c r="N191" s="16" t="s">
        <v>39</v>
      </c>
      <c r="O191" s="16" t="n">
        <v>200</v>
      </c>
      <c r="P191" s="9"/>
      <c r="Q191" s="9" t="n">
        <v>0</v>
      </c>
      <c r="R191" s="9" t="n">
        <v>0</v>
      </c>
      <c r="S191" s="16" t="n">
        <v>0</v>
      </c>
    </row>
    <row r="192" customFormat="false" ht="15" hidden="false" customHeight="false" outlineLevel="0" collapsed="false">
      <c r="A192" s="16" t="s">
        <v>19</v>
      </c>
      <c r="B192" s="4" t="s">
        <v>483</v>
      </c>
      <c r="C192" s="16" t="s">
        <v>79</v>
      </c>
      <c r="D192" s="25" t="s">
        <v>484</v>
      </c>
      <c r="E192" s="17" t="s">
        <v>485</v>
      </c>
      <c r="F192" s="14" t="n">
        <v>15300</v>
      </c>
      <c r="G192" s="15" t="n">
        <v>45457</v>
      </c>
      <c r="H192" s="5" t="s">
        <v>24</v>
      </c>
      <c r="I192" s="16" t="s">
        <v>25</v>
      </c>
      <c r="J192" s="16" t="s">
        <v>25</v>
      </c>
      <c r="K192" s="16" t="s">
        <v>25</v>
      </c>
      <c r="L192" s="16" t="s">
        <v>25</v>
      </c>
      <c r="M192" s="16" t="s">
        <v>25</v>
      </c>
      <c r="N192" s="16" t="s">
        <v>25</v>
      </c>
      <c r="O192" s="16" t="n">
        <v>1</v>
      </c>
      <c r="P192" s="9" t="n">
        <v>0</v>
      </c>
      <c r="Q192" s="9" t="n">
        <v>0</v>
      </c>
      <c r="R192" s="9" t="n">
        <v>0</v>
      </c>
      <c r="S192" s="16" t="n">
        <v>0</v>
      </c>
    </row>
    <row r="193" customFormat="false" ht="15" hidden="false" customHeight="false" outlineLevel="0" collapsed="false">
      <c r="A193" s="16" t="s">
        <v>19</v>
      </c>
      <c r="B193" s="4" t="s">
        <v>486</v>
      </c>
      <c r="C193" s="16" t="s">
        <v>91</v>
      </c>
      <c r="D193" s="25" t="s">
        <v>487</v>
      </c>
      <c r="E193" s="17" t="s">
        <v>455</v>
      </c>
      <c r="F193" s="14" t="n">
        <v>1600</v>
      </c>
      <c r="G193" s="15" t="n">
        <v>45458</v>
      </c>
      <c r="H193" s="5" t="s">
        <v>24</v>
      </c>
      <c r="I193" s="16" t="s">
        <v>25</v>
      </c>
      <c r="J193" s="16" t="s">
        <v>25</v>
      </c>
      <c r="K193" s="16" t="s">
        <v>25</v>
      </c>
      <c r="L193" s="16" t="s">
        <v>25</v>
      </c>
      <c r="M193" s="16" t="s">
        <v>25</v>
      </c>
      <c r="N193" s="16" t="n">
        <v>2</v>
      </c>
      <c r="O193" s="16" t="n">
        <v>2</v>
      </c>
      <c r="P193" s="9" t="n">
        <v>2</v>
      </c>
      <c r="Q193" s="9" t="n">
        <v>0</v>
      </c>
      <c r="R193" s="9" t="n">
        <v>0</v>
      </c>
      <c r="S193" s="16" t="n">
        <v>0</v>
      </c>
    </row>
    <row r="194" customFormat="false" ht="15" hidden="false" customHeight="false" outlineLevel="0" collapsed="false">
      <c r="A194" s="16" t="s">
        <v>19</v>
      </c>
      <c r="B194" s="4" t="s">
        <v>488</v>
      </c>
      <c r="C194" s="16" t="s">
        <v>79</v>
      </c>
      <c r="D194" s="25" t="s">
        <v>489</v>
      </c>
      <c r="E194" s="17" t="s">
        <v>490</v>
      </c>
      <c r="F194" s="14" t="n">
        <v>600</v>
      </c>
      <c r="G194" s="15" t="n">
        <v>45458</v>
      </c>
      <c r="H194" s="5" t="s">
        <v>24</v>
      </c>
      <c r="I194" s="16" t="s">
        <v>25</v>
      </c>
      <c r="J194" s="16" t="s">
        <v>25</v>
      </c>
      <c r="K194" s="16" t="s">
        <v>25</v>
      </c>
      <c r="L194" s="16" t="s">
        <v>25</v>
      </c>
      <c r="M194" s="16" t="s">
        <v>25</v>
      </c>
      <c r="N194" s="16" t="n">
        <v>1</v>
      </c>
      <c r="O194" s="16" t="n">
        <v>2</v>
      </c>
      <c r="P194" s="9" t="n">
        <v>1</v>
      </c>
      <c r="Q194" s="9" t="n">
        <v>0</v>
      </c>
      <c r="R194" s="9" t="n">
        <v>0</v>
      </c>
      <c r="S194" s="16" t="n">
        <v>0</v>
      </c>
    </row>
    <row r="195" customFormat="false" ht="15" hidden="false" customHeight="false" outlineLevel="0" collapsed="false">
      <c r="A195" s="9" t="s">
        <v>135</v>
      </c>
      <c r="B195" s="4" t="s">
        <v>491</v>
      </c>
      <c r="C195" s="16" t="s">
        <v>492</v>
      </c>
      <c r="D195" s="25" t="s">
        <v>493</v>
      </c>
      <c r="E195" s="17" t="s">
        <v>479</v>
      </c>
      <c r="F195" s="14" t="n">
        <v>246</v>
      </c>
      <c r="G195" s="15" t="n">
        <v>45460</v>
      </c>
      <c r="H195" s="5" t="s">
        <v>24</v>
      </c>
      <c r="I195" s="16" t="s">
        <v>25</v>
      </c>
      <c r="J195" s="16" t="s">
        <v>25</v>
      </c>
      <c r="K195" s="16" t="s">
        <v>25</v>
      </c>
      <c r="L195" s="16" t="s">
        <v>25</v>
      </c>
      <c r="M195" s="16" t="s">
        <v>25</v>
      </c>
      <c r="N195" s="16" t="n">
        <v>1</v>
      </c>
      <c r="O195" s="16" t="n">
        <v>0</v>
      </c>
      <c r="P195" s="25"/>
      <c r="Q195" s="25"/>
      <c r="R195" s="25"/>
      <c r="S195" s="16" t="n">
        <v>0</v>
      </c>
    </row>
    <row r="196" customFormat="false" ht="15" hidden="false" customHeight="false" outlineLevel="0" collapsed="false">
      <c r="A196" s="9" t="s">
        <v>135</v>
      </c>
      <c r="B196" s="4" t="s">
        <v>494</v>
      </c>
      <c r="C196" s="16" t="s">
        <v>195</v>
      </c>
      <c r="D196" s="25" t="s">
        <v>495</v>
      </c>
      <c r="E196" s="17" t="s">
        <v>70</v>
      </c>
      <c r="F196" s="14" t="n">
        <v>66.95</v>
      </c>
      <c r="G196" s="15" t="n">
        <v>45460</v>
      </c>
      <c r="H196" s="5" t="s">
        <v>24</v>
      </c>
      <c r="I196" s="16" t="s">
        <v>25</v>
      </c>
      <c r="J196" s="16" t="s">
        <v>25</v>
      </c>
      <c r="K196" s="16" t="s">
        <v>25</v>
      </c>
      <c r="L196" s="16" t="s">
        <v>25</v>
      </c>
      <c r="M196" s="16" t="s">
        <v>25</v>
      </c>
      <c r="N196" s="16" t="n">
        <v>1</v>
      </c>
      <c r="O196" s="16" t="n">
        <v>0</v>
      </c>
      <c r="P196" s="25"/>
      <c r="Q196" s="25"/>
      <c r="R196" s="25"/>
      <c r="S196" s="25"/>
    </row>
    <row r="197" customFormat="false" ht="15" hidden="false" customHeight="false" outlineLevel="0" collapsed="false">
      <c r="A197" s="9" t="s">
        <v>135</v>
      </c>
      <c r="B197" s="4" t="s">
        <v>496</v>
      </c>
      <c r="C197" s="16" t="s">
        <v>195</v>
      </c>
      <c r="D197" s="25" t="s">
        <v>497</v>
      </c>
      <c r="E197" s="17" t="s">
        <v>70</v>
      </c>
      <c r="F197" s="14" t="n">
        <v>83.9</v>
      </c>
      <c r="G197" s="15" t="n">
        <v>45460</v>
      </c>
      <c r="H197" s="5" t="s">
        <v>24</v>
      </c>
      <c r="I197" s="16" t="s">
        <v>25</v>
      </c>
      <c r="J197" s="16" t="s">
        <v>25</v>
      </c>
      <c r="K197" s="16" t="s">
        <v>25</v>
      </c>
      <c r="L197" s="16" t="s">
        <v>25</v>
      </c>
      <c r="M197" s="16" t="s">
        <v>25</v>
      </c>
      <c r="N197" s="16" t="n">
        <v>1</v>
      </c>
      <c r="O197" s="16" t="n">
        <v>0</v>
      </c>
      <c r="P197" s="25"/>
      <c r="Q197" s="25"/>
      <c r="R197" s="25"/>
      <c r="S197" s="25"/>
    </row>
    <row r="198" customFormat="false" ht="15" hidden="false" customHeight="false" outlineLevel="0" collapsed="false">
      <c r="A198" s="16" t="s">
        <v>19</v>
      </c>
      <c r="B198" s="4" t="s">
        <v>498</v>
      </c>
      <c r="C198" s="16" t="s">
        <v>100</v>
      </c>
      <c r="D198" s="25" t="s">
        <v>499</v>
      </c>
      <c r="E198" s="17" t="s">
        <v>500</v>
      </c>
      <c r="F198" s="14" t="n">
        <v>1500</v>
      </c>
      <c r="G198" s="15" t="n">
        <v>45464</v>
      </c>
      <c r="H198" s="5" t="s">
        <v>24</v>
      </c>
      <c r="I198" s="16" t="s">
        <v>25</v>
      </c>
      <c r="J198" s="16" t="s">
        <v>25</v>
      </c>
      <c r="K198" s="16" t="s">
        <v>25</v>
      </c>
      <c r="L198" s="16" t="s">
        <v>25</v>
      </c>
      <c r="M198" s="16" t="s">
        <v>25</v>
      </c>
      <c r="N198" s="16" t="n">
        <v>1</v>
      </c>
      <c r="O198" s="16" t="n">
        <v>0</v>
      </c>
      <c r="P198" s="25"/>
      <c r="Q198" s="25"/>
      <c r="R198" s="25"/>
      <c r="S198" s="25"/>
    </row>
    <row r="199" customFormat="false" ht="15" hidden="false" customHeight="false" outlineLevel="0" collapsed="false">
      <c r="A199" s="16" t="s">
        <v>135</v>
      </c>
      <c r="B199" s="4" t="s">
        <v>501</v>
      </c>
      <c r="C199" s="16" t="s">
        <v>209</v>
      </c>
      <c r="D199" s="30" t="s">
        <v>502</v>
      </c>
      <c r="E199" s="17" t="s">
        <v>70</v>
      </c>
      <c r="F199" s="14" t="n">
        <v>114.75</v>
      </c>
      <c r="G199" s="15" t="n">
        <v>45465</v>
      </c>
      <c r="H199" s="5" t="s">
        <v>24</v>
      </c>
      <c r="I199" s="16"/>
      <c r="J199" s="16"/>
      <c r="K199" s="16"/>
      <c r="L199" s="16"/>
      <c r="M199" s="16"/>
      <c r="N199" s="16"/>
      <c r="O199" s="16"/>
      <c r="P199" s="25"/>
      <c r="Q199" s="25"/>
      <c r="R199" s="25"/>
      <c r="S199" s="25"/>
    </row>
    <row r="200" customFormat="false" ht="15" hidden="false" customHeight="false" outlineLevel="0" collapsed="false">
      <c r="A200" s="16" t="s">
        <v>135</v>
      </c>
      <c r="B200" s="4" t="s">
        <v>503</v>
      </c>
      <c r="C200" s="16" t="s">
        <v>209</v>
      </c>
      <c r="D200" s="30" t="s">
        <v>504</v>
      </c>
      <c r="E200" s="17" t="s">
        <v>70</v>
      </c>
      <c r="F200" s="14" t="n">
        <v>458.89</v>
      </c>
      <c r="G200" s="15" t="n">
        <v>45465</v>
      </c>
      <c r="H200" s="5" t="s">
        <v>24</v>
      </c>
      <c r="I200" s="16"/>
      <c r="J200" s="16"/>
      <c r="K200" s="16"/>
      <c r="L200" s="16"/>
      <c r="M200" s="16"/>
      <c r="N200" s="16"/>
      <c r="O200" s="16"/>
      <c r="P200" s="25"/>
      <c r="Q200" s="25"/>
      <c r="R200" s="25"/>
      <c r="S200" s="25"/>
    </row>
    <row r="201" customFormat="false" ht="15" hidden="false" customHeight="false" outlineLevel="0" collapsed="false">
      <c r="A201" s="16" t="s">
        <v>135</v>
      </c>
      <c r="B201" s="4" t="s">
        <v>505</v>
      </c>
      <c r="C201" s="16" t="s">
        <v>492</v>
      </c>
      <c r="D201" s="30" t="s">
        <v>506</v>
      </c>
      <c r="E201" s="17" t="s">
        <v>70</v>
      </c>
      <c r="F201" s="14" t="n">
        <v>107.254</v>
      </c>
      <c r="G201" s="15" t="n">
        <v>45465</v>
      </c>
      <c r="H201" s="5" t="s">
        <v>24</v>
      </c>
      <c r="I201" s="16"/>
      <c r="J201" s="16"/>
      <c r="K201" s="16"/>
      <c r="L201" s="16"/>
      <c r="M201" s="16"/>
      <c r="N201" s="16"/>
      <c r="O201" s="16"/>
      <c r="P201" s="25"/>
      <c r="Q201" s="25"/>
      <c r="R201" s="25"/>
      <c r="S201" s="25"/>
    </row>
    <row r="202" customFormat="false" ht="15" hidden="false" customHeight="false" outlineLevel="0" collapsed="false">
      <c r="A202" s="9" t="s">
        <v>135</v>
      </c>
      <c r="B202" s="4" t="s">
        <v>507</v>
      </c>
      <c r="C202" s="16" t="s">
        <v>492</v>
      </c>
      <c r="D202" s="6" t="s">
        <v>508</v>
      </c>
      <c r="E202" s="17" t="s">
        <v>479</v>
      </c>
      <c r="F202" s="14" t="n">
        <v>4009.82</v>
      </c>
      <c r="G202" s="15" t="n">
        <v>45471</v>
      </c>
      <c r="H202" s="5" t="s">
        <v>24</v>
      </c>
      <c r="I202" s="16"/>
      <c r="J202" s="16"/>
      <c r="K202" s="16"/>
      <c r="L202" s="16"/>
      <c r="M202" s="16"/>
      <c r="N202" s="16"/>
      <c r="O202" s="16"/>
      <c r="P202" s="25"/>
      <c r="Q202" s="25"/>
      <c r="R202" s="25"/>
      <c r="S202" s="25"/>
    </row>
    <row r="203" customFormat="false" ht="15" hidden="false" customHeight="false" outlineLevel="0" collapsed="false">
      <c r="A203" s="16" t="s">
        <v>19</v>
      </c>
      <c r="B203" s="4" t="s">
        <v>509</v>
      </c>
      <c r="C203" s="16" t="s">
        <v>195</v>
      </c>
      <c r="D203" s="6" t="s">
        <v>510</v>
      </c>
      <c r="E203" s="17" t="s">
        <v>455</v>
      </c>
      <c r="F203" s="14" t="n">
        <v>385</v>
      </c>
      <c r="G203" s="15" t="n">
        <v>45472</v>
      </c>
      <c r="H203" s="5" t="s">
        <v>24</v>
      </c>
      <c r="I203" s="16"/>
      <c r="J203" s="16"/>
      <c r="K203" s="16"/>
      <c r="L203" s="16"/>
      <c r="M203" s="16"/>
      <c r="N203" s="16"/>
      <c r="O203" s="16"/>
      <c r="P203" s="25"/>
      <c r="Q203" s="25"/>
      <c r="R203" s="25"/>
      <c r="S203" s="25"/>
    </row>
    <row r="204" customFormat="false" ht="15" hidden="false" customHeight="false" outlineLevel="0" collapsed="false">
      <c r="A204" s="16" t="s">
        <v>19</v>
      </c>
      <c r="B204" s="4" t="s">
        <v>511</v>
      </c>
      <c r="C204" s="16" t="s">
        <v>512</v>
      </c>
      <c r="D204" s="25" t="s">
        <v>513</v>
      </c>
      <c r="E204" s="17" t="s">
        <v>70</v>
      </c>
      <c r="F204" s="14" t="n">
        <v>58.47</v>
      </c>
      <c r="G204" s="15" t="n">
        <v>45472</v>
      </c>
      <c r="H204" s="5" t="s">
        <v>24</v>
      </c>
      <c r="I204" s="16"/>
      <c r="J204" s="16"/>
      <c r="K204" s="16"/>
      <c r="L204" s="16"/>
      <c r="M204" s="16"/>
      <c r="N204" s="16"/>
      <c r="O204" s="16"/>
      <c r="P204" s="25"/>
      <c r="Q204" s="25"/>
      <c r="R204" s="25"/>
      <c r="S204" s="25"/>
    </row>
    <row r="205" customFormat="false" ht="15" hidden="false" customHeight="false" outlineLevel="0" collapsed="false">
      <c r="A205" s="16" t="s">
        <v>19</v>
      </c>
      <c r="B205" s="4" t="s">
        <v>514</v>
      </c>
      <c r="C205" s="16" t="s">
        <v>79</v>
      </c>
      <c r="D205" s="6" t="s">
        <v>515</v>
      </c>
      <c r="E205" s="17" t="s">
        <v>516</v>
      </c>
      <c r="F205" s="14" t="n">
        <v>75</v>
      </c>
      <c r="G205" s="15" t="n">
        <v>45474</v>
      </c>
      <c r="H205" s="5" t="s">
        <v>24</v>
      </c>
      <c r="I205" s="16"/>
      <c r="J205" s="16"/>
      <c r="K205" s="16"/>
      <c r="L205" s="16"/>
      <c r="M205" s="16"/>
      <c r="N205" s="16"/>
      <c r="O205" s="16"/>
      <c r="P205" s="25"/>
      <c r="Q205" s="25"/>
      <c r="R205" s="25"/>
      <c r="S205" s="25"/>
    </row>
    <row r="206" customFormat="false" ht="15" hidden="false" customHeight="false" outlineLevel="0" collapsed="false">
      <c r="A206" s="16" t="s">
        <v>19</v>
      </c>
      <c r="B206" s="4" t="s">
        <v>517</v>
      </c>
      <c r="C206" s="16" t="s">
        <v>492</v>
      </c>
      <c r="D206" s="6" t="s">
        <v>518</v>
      </c>
      <c r="E206" s="17" t="s">
        <v>519</v>
      </c>
      <c r="F206" s="14" t="n">
        <v>6900</v>
      </c>
      <c r="G206" s="15" t="n">
        <v>45477</v>
      </c>
      <c r="H206" s="5" t="s">
        <v>24</v>
      </c>
      <c r="I206" s="16"/>
      <c r="J206" s="16"/>
      <c r="K206" s="16"/>
      <c r="L206" s="16"/>
      <c r="M206" s="16"/>
      <c r="N206" s="16"/>
      <c r="O206" s="16"/>
      <c r="P206" s="25"/>
      <c r="Q206" s="25"/>
      <c r="R206" s="25"/>
      <c r="S206" s="25"/>
    </row>
    <row r="207" customFormat="false" ht="15" hidden="false" customHeight="false" outlineLevel="0" collapsed="false">
      <c r="A207" s="16" t="s">
        <v>19</v>
      </c>
      <c r="B207" s="4" t="s">
        <v>520</v>
      </c>
      <c r="C207" s="16" t="s">
        <v>209</v>
      </c>
      <c r="D207" s="25" t="s">
        <v>521</v>
      </c>
      <c r="E207" s="17" t="s">
        <v>108</v>
      </c>
      <c r="F207" s="14" t="n">
        <v>102</v>
      </c>
      <c r="G207" s="15" t="n">
        <v>45478</v>
      </c>
      <c r="H207" s="5" t="s">
        <v>24</v>
      </c>
      <c r="I207" s="16"/>
      <c r="J207" s="16"/>
      <c r="K207" s="16"/>
      <c r="L207" s="16"/>
      <c r="M207" s="16"/>
      <c r="N207" s="16"/>
      <c r="O207" s="16"/>
      <c r="P207" s="25"/>
      <c r="Q207" s="25"/>
      <c r="R207" s="25"/>
      <c r="S207" s="25"/>
    </row>
    <row r="208" customFormat="false" ht="15" hidden="false" customHeight="false" outlineLevel="0" collapsed="false">
      <c r="A208" s="16" t="s">
        <v>19</v>
      </c>
      <c r="B208" s="4" t="s">
        <v>522</v>
      </c>
      <c r="C208" s="16" t="s">
        <v>209</v>
      </c>
      <c r="D208" s="25" t="s">
        <v>523</v>
      </c>
      <c r="E208" s="17" t="s">
        <v>23</v>
      </c>
      <c r="F208" s="14" t="n">
        <v>5500</v>
      </c>
      <c r="G208" s="15" t="n">
        <v>45478</v>
      </c>
      <c r="H208" s="5" t="s">
        <v>24</v>
      </c>
      <c r="I208" s="16"/>
      <c r="J208" s="16"/>
      <c r="K208" s="16"/>
      <c r="L208" s="16"/>
      <c r="M208" s="16"/>
      <c r="N208" s="16"/>
      <c r="O208" s="16"/>
      <c r="P208" s="25"/>
      <c r="Q208" s="25"/>
      <c r="R208" s="25"/>
      <c r="S208" s="25"/>
    </row>
    <row r="209" customFormat="false" ht="15" hidden="false" customHeight="false" outlineLevel="0" collapsed="false">
      <c r="A209" s="16" t="s">
        <v>19</v>
      </c>
      <c r="B209" s="4" t="s">
        <v>524</v>
      </c>
      <c r="C209" s="16" t="s">
        <v>209</v>
      </c>
      <c r="D209" s="25" t="s">
        <v>525</v>
      </c>
      <c r="E209" s="17" t="s">
        <v>23</v>
      </c>
      <c r="F209" s="14" t="n">
        <v>5400</v>
      </c>
      <c r="G209" s="15" t="n">
        <v>45478</v>
      </c>
      <c r="H209" s="5" t="s">
        <v>24</v>
      </c>
      <c r="I209" s="16"/>
      <c r="J209" s="16"/>
      <c r="K209" s="16"/>
      <c r="L209" s="16"/>
      <c r="M209" s="16"/>
      <c r="N209" s="16"/>
      <c r="O209" s="16"/>
      <c r="P209" s="25"/>
      <c r="Q209" s="25"/>
      <c r="R209" s="25"/>
      <c r="S209" s="25"/>
    </row>
    <row r="210" customFormat="false" ht="15" hidden="false" customHeight="false" outlineLevel="0" collapsed="false">
      <c r="A210" s="16" t="s">
        <v>19</v>
      </c>
      <c r="B210" s="4" t="s">
        <v>526</v>
      </c>
      <c r="C210" s="16" t="s">
        <v>527</v>
      </c>
      <c r="D210" s="25" t="s">
        <v>528</v>
      </c>
      <c r="E210" s="17" t="s">
        <v>38</v>
      </c>
      <c r="F210" s="14" t="n">
        <v>3395</v>
      </c>
      <c r="G210" s="15" t="n">
        <v>45478</v>
      </c>
      <c r="H210" s="5" t="s">
        <v>24</v>
      </c>
      <c r="I210" s="16"/>
      <c r="J210" s="16"/>
      <c r="K210" s="16"/>
      <c r="L210" s="16"/>
      <c r="M210" s="16"/>
      <c r="N210" s="16"/>
      <c r="O210" s="16"/>
      <c r="P210" s="25"/>
      <c r="Q210" s="25"/>
      <c r="R210" s="25"/>
      <c r="S210" s="25"/>
    </row>
    <row r="211" customFormat="false" ht="15" hidden="false" customHeight="false" outlineLevel="0" collapsed="false">
      <c r="A211" s="16" t="s">
        <v>19</v>
      </c>
      <c r="B211" s="4" t="s">
        <v>529</v>
      </c>
      <c r="C211" s="16" t="s">
        <v>527</v>
      </c>
      <c r="D211" s="25" t="s">
        <v>530</v>
      </c>
      <c r="E211" s="17" t="s">
        <v>38</v>
      </c>
      <c r="F211" s="14" t="n">
        <v>1775</v>
      </c>
      <c r="G211" s="15" t="n">
        <v>45478</v>
      </c>
      <c r="H211" s="5" t="s">
        <v>24</v>
      </c>
      <c r="I211" s="16"/>
      <c r="J211" s="16"/>
      <c r="K211" s="16"/>
      <c r="L211" s="16"/>
      <c r="M211" s="16"/>
      <c r="N211" s="16"/>
      <c r="O211" s="16"/>
      <c r="P211" s="25"/>
      <c r="Q211" s="25"/>
      <c r="R211" s="25"/>
      <c r="S211" s="25"/>
    </row>
    <row r="212" customFormat="false" ht="15" hidden="false" customHeight="false" outlineLevel="0" collapsed="false">
      <c r="A212" s="16" t="s">
        <v>19</v>
      </c>
      <c r="B212" s="4" t="s">
        <v>531</v>
      </c>
      <c r="C212" s="16" t="s">
        <v>79</v>
      </c>
      <c r="D212" s="25" t="s">
        <v>532</v>
      </c>
      <c r="E212" s="17" t="s">
        <v>23</v>
      </c>
      <c r="F212" s="14" t="n">
        <v>17650</v>
      </c>
      <c r="G212" s="15" t="n">
        <v>45478</v>
      </c>
      <c r="H212" s="5" t="s">
        <v>24</v>
      </c>
      <c r="I212" s="16"/>
      <c r="J212" s="16"/>
      <c r="K212" s="16"/>
      <c r="L212" s="16"/>
      <c r="M212" s="16"/>
      <c r="N212" s="16"/>
      <c r="O212" s="16"/>
      <c r="P212" s="25"/>
      <c r="Q212" s="25"/>
      <c r="R212" s="25"/>
      <c r="S212" s="25"/>
    </row>
    <row r="213" customFormat="false" ht="15" hidden="false" customHeight="false" outlineLevel="0" collapsed="false">
      <c r="A213" s="16" t="s">
        <v>215</v>
      </c>
      <c r="B213" s="4" t="s">
        <v>533</v>
      </c>
      <c r="C213" s="16" t="s">
        <v>181</v>
      </c>
      <c r="D213" s="25" t="s">
        <v>534</v>
      </c>
      <c r="E213" s="17" t="s">
        <v>108</v>
      </c>
      <c r="F213" s="14" t="n">
        <v>1944</v>
      </c>
      <c r="G213" s="15" t="n">
        <v>45478</v>
      </c>
      <c r="H213" s="5" t="s">
        <v>24</v>
      </c>
      <c r="I213" s="16"/>
      <c r="J213" s="16"/>
      <c r="K213" s="16"/>
      <c r="L213" s="16"/>
      <c r="M213" s="16"/>
      <c r="N213" s="16"/>
      <c r="O213" s="16"/>
      <c r="P213" s="25"/>
      <c r="Q213" s="25"/>
      <c r="R213" s="25"/>
      <c r="S213" s="25"/>
    </row>
    <row r="214" customFormat="false" ht="15" hidden="false" customHeight="false" outlineLevel="0" collapsed="false">
      <c r="A214" s="16" t="s">
        <v>215</v>
      </c>
      <c r="B214" s="4" t="s">
        <v>535</v>
      </c>
      <c r="C214" s="16" t="s">
        <v>181</v>
      </c>
      <c r="D214" s="25" t="s">
        <v>536</v>
      </c>
      <c r="E214" s="17" t="s">
        <v>70</v>
      </c>
      <c r="F214" s="14" t="n">
        <v>273.66</v>
      </c>
      <c r="G214" s="15" t="n">
        <v>45478</v>
      </c>
      <c r="H214" s="5" t="s">
        <v>24</v>
      </c>
      <c r="I214" s="16"/>
      <c r="J214" s="16"/>
      <c r="K214" s="16"/>
      <c r="L214" s="16"/>
      <c r="M214" s="16"/>
      <c r="N214" s="16"/>
      <c r="O214" s="16"/>
      <c r="P214" s="25"/>
      <c r="Q214" s="25"/>
      <c r="R214" s="25"/>
      <c r="S214" s="25"/>
    </row>
    <row r="215" customFormat="false" ht="15" hidden="false" customHeight="false" outlineLevel="0" collapsed="false">
      <c r="A215" s="16" t="s">
        <v>215</v>
      </c>
      <c r="B215" s="4" t="s">
        <v>537</v>
      </c>
      <c r="C215" s="16" t="s">
        <v>538</v>
      </c>
      <c r="D215" s="25" t="s">
        <v>539</v>
      </c>
      <c r="E215" s="17" t="s">
        <v>540</v>
      </c>
      <c r="F215" s="14" t="n">
        <v>33000</v>
      </c>
      <c r="G215" s="15" t="n">
        <v>45482</v>
      </c>
      <c r="H215" s="5" t="s">
        <v>24</v>
      </c>
      <c r="I215" s="16" t="s">
        <v>39</v>
      </c>
      <c r="J215" s="16" t="s">
        <v>39</v>
      </c>
      <c r="K215" s="16" t="s">
        <v>39</v>
      </c>
      <c r="L215" s="16" t="s">
        <v>39</v>
      </c>
      <c r="M215" s="16" t="s">
        <v>39</v>
      </c>
      <c r="N215" s="16" t="s">
        <v>39</v>
      </c>
      <c r="O215" s="16"/>
      <c r="P215" s="25"/>
      <c r="Q215" s="25"/>
      <c r="R215" s="25"/>
      <c r="S215" s="25"/>
    </row>
    <row r="216" customFormat="false" ht="15" hidden="false" customHeight="false" outlineLevel="0" collapsed="false">
      <c r="A216" s="16" t="s">
        <v>19</v>
      </c>
      <c r="B216" s="4" t="s">
        <v>541</v>
      </c>
      <c r="C216" s="16" t="s">
        <v>542</v>
      </c>
      <c r="D216" s="25" t="s">
        <v>543</v>
      </c>
      <c r="E216" s="17" t="s">
        <v>23</v>
      </c>
      <c r="F216" s="14" t="n">
        <v>5600</v>
      </c>
      <c r="G216" s="15" t="n">
        <v>45484</v>
      </c>
      <c r="H216" s="5" t="s">
        <v>24</v>
      </c>
      <c r="I216" s="16" t="s">
        <v>39</v>
      </c>
      <c r="J216" s="16" t="s">
        <v>39</v>
      </c>
      <c r="K216" s="16" t="s">
        <v>39</v>
      </c>
      <c r="L216" s="16" t="s">
        <v>39</v>
      </c>
      <c r="M216" s="16" t="s">
        <v>39</v>
      </c>
      <c r="N216" s="16" t="s">
        <v>39</v>
      </c>
      <c r="O216" s="16"/>
      <c r="P216" s="25"/>
      <c r="Q216" s="25"/>
      <c r="R216" s="25"/>
      <c r="S216" s="25"/>
    </row>
    <row r="217" customFormat="false" ht="15" hidden="false" customHeight="false" outlineLevel="0" collapsed="false">
      <c r="A217" s="16" t="s">
        <v>19</v>
      </c>
      <c r="B217" s="4" t="s">
        <v>544</v>
      </c>
      <c r="C217" s="16" t="s">
        <v>542</v>
      </c>
      <c r="D217" s="25" t="s">
        <v>545</v>
      </c>
      <c r="E217" s="17" t="s">
        <v>23</v>
      </c>
      <c r="F217" s="14" t="n">
        <v>4800</v>
      </c>
      <c r="G217" s="15" t="n">
        <v>45484</v>
      </c>
      <c r="H217" s="5" t="s">
        <v>24</v>
      </c>
      <c r="I217" s="16" t="s">
        <v>39</v>
      </c>
      <c r="J217" s="16" t="s">
        <v>39</v>
      </c>
      <c r="K217" s="16" t="s">
        <v>39</v>
      </c>
      <c r="L217" s="16" t="s">
        <v>39</v>
      </c>
      <c r="M217" s="16" t="s">
        <v>39</v>
      </c>
      <c r="N217" s="16" t="s">
        <v>39</v>
      </c>
      <c r="O217" s="16"/>
      <c r="P217" s="25"/>
      <c r="Q217" s="25"/>
      <c r="R217" s="25"/>
      <c r="S217" s="25"/>
    </row>
    <row r="218" customFormat="false" ht="15" hidden="false" customHeight="false" outlineLevel="0" collapsed="false">
      <c r="A218" s="16" t="s">
        <v>19</v>
      </c>
      <c r="B218" s="4" t="s">
        <v>546</v>
      </c>
      <c r="C218" s="16" t="s">
        <v>542</v>
      </c>
      <c r="D218" s="25" t="s">
        <v>547</v>
      </c>
      <c r="E218" s="17" t="s">
        <v>23</v>
      </c>
      <c r="F218" s="14" t="n">
        <v>35000</v>
      </c>
      <c r="G218" s="15" t="n">
        <v>45484</v>
      </c>
      <c r="H218" s="5" t="s">
        <v>24</v>
      </c>
      <c r="I218" s="16" t="s">
        <v>39</v>
      </c>
      <c r="J218" s="16" t="s">
        <v>39</v>
      </c>
      <c r="K218" s="16" t="s">
        <v>39</v>
      </c>
      <c r="L218" s="16" t="s">
        <v>39</v>
      </c>
      <c r="M218" s="16" t="s">
        <v>39</v>
      </c>
      <c r="N218" s="16" t="s">
        <v>39</v>
      </c>
      <c r="O218" s="16"/>
      <c r="P218" s="25"/>
      <c r="Q218" s="25"/>
      <c r="R218" s="25"/>
      <c r="S218" s="25"/>
    </row>
    <row r="219" customFormat="false" ht="15" hidden="false" customHeight="false" outlineLevel="0" collapsed="false">
      <c r="A219" s="16" t="s">
        <v>215</v>
      </c>
      <c r="B219" s="4" t="s">
        <v>548</v>
      </c>
      <c r="C219" s="16" t="s">
        <v>549</v>
      </c>
      <c r="D219" s="25" t="s">
        <v>550</v>
      </c>
      <c r="E219" s="17" t="s">
        <v>540</v>
      </c>
      <c r="F219" s="14" t="n">
        <v>74000</v>
      </c>
      <c r="G219" s="15" t="n">
        <v>45495</v>
      </c>
      <c r="H219" s="5" t="s">
        <v>24</v>
      </c>
      <c r="I219" s="16" t="s">
        <v>39</v>
      </c>
      <c r="J219" s="16" t="s">
        <v>39</v>
      </c>
      <c r="K219" s="16" t="s">
        <v>39</v>
      </c>
      <c r="L219" s="16" t="s">
        <v>39</v>
      </c>
      <c r="M219" s="16" t="s">
        <v>39</v>
      </c>
      <c r="N219" s="16" t="s">
        <v>39</v>
      </c>
      <c r="O219" s="25"/>
      <c r="P219" s="25"/>
      <c r="Q219" s="25"/>
      <c r="R219" s="25"/>
      <c r="S219" s="25"/>
    </row>
    <row r="220" customFormat="false" ht="15" hidden="false" customHeight="false" outlineLevel="0" collapsed="false">
      <c r="A220" s="16" t="s">
        <v>19</v>
      </c>
      <c r="B220" s="4" t="s">
        <v>551</v>
      </c>
      <c r="C220" s="4" t="s">
        <v>36</v>
      </c>
      <c r="D220" s="25" t="s">
        <v>552</v>
      </c>
      <c r="E220" s="31" t="s">
        <v>70</v>
      </c>
      <c r="F220" s="14" t="n">
        <v>6822.03</v>
      </c>
      <c r="G220" s="15" t="n">
        <v>45496</v>
      </c>
      <c r="H220" s="5" t="s">
        <v>24</v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</row>
    <row r="221" customFormat="false" ht="15" hidden="false" customHeight="false" outlineLevel="0" collapsed="false">
      <c r="A221" s="16" t="s">
        <v>19</v>
      </c>
      <c r="B221" s="4" t="s">
        <v>44</v>
      </c>
      <c r="C221" s="4" t="s">
        <v>36</v>
      </c>
      <c r="D221" s="25" t="s">
        <v>553</v>
      </c>
      <c r="E221" s="31" t="s">
        <v>70</v>
      </c>
      <c r="F221" s="14" t="n">
        <v>2377.12</v>
      </c>
      <c r="G221" s="15" t="n">
        <v>45496</v>
      </c>
      <c r="H221" s="5" t="s">
        <v>24</v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</row>
    <row r="222" customFormat="false" ht="15" hidden="false" customHeight="false" outlineLevel="0" collapsed="false">
      <c r="A222" s="16" t="s">
        <v>215</v>
      </c>
      <c r="B222" s="4" t="s">
        <v>554</v>
      </c>
      <c r="C222" s="4" t="s">
        <v>256</v>
      </c>
      <c r="D222" s="25" t="s">
        <v>555</v>
      </c>
      <c r="E222" s="31" t="s">
        <v>70</v>
      </c>
      <c r="F222" s="14" t="n">
        <v>9320</v>
      </c>
      <c r="G222" s="15" t="n">
        <v>45496</v>
      </c>
      <c r="H222" s="5" t="s">
        <v>24</v>
      </c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</row>
    <row r="223" customFormat="false" ht="15" hidden="false" customHeight="false" outlineLevel="0" collapsed="false">
      <c r="A223" s="16" t="s">
        <v>215</v>
      </c>
      <c r="B223" s="4" t="s">
        <v>556</v>
      </c>
      <c r="C223" s="4" t="s">
        <v>287</v>
      </c>
      <c r="D223" s="25" t="s">
        <v>557</v>
      </c>
      <c r="E223" s="31" t="s">
        <v>420</v>
      </c>
      <c r="F223" s="14" t="n">
        <v>6799</v>
      </c>
      <c r="G223" s="15" t="n">
        <v>45496</v>
      </c>
      <c r="H223" s="5" t="s">
        <v>24</v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</row>
    <row r="224" customFormat="false" ht="15" hidden="false" customHeight="false" outlineLevel="0" collapsed="false">
      <c r="A224" s="16" t="s">
        <v>19</v>
      </c>
      <c r="B224" s="4" t="s">
        <v>558</v>
      </c>
      <c r="C224" s="4" t="s">
        <v>527</v>
      </c>
      <c r="D224" s="25" t="s">
        <v>559</v>
      </c>
      <c r="E224" s="31" t="s">
        <v>57</v>
      </c>
      <c r="F224" s="14" t="n">
        <v>1525.415</v>
      </c>
      <c r="G224" s="15" t="n">
        <v>45496</v>
      </c>
      <c r="H224" s="5" t="s">
        <v>24</v>
      </c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customFormat="false" ht="15" hidden="false" customHeight="false" outlineLevel="0" collapsed="false">
      <c r="A225" s="16" t="s">
        <v>19</v>
      </c>
      <c r="B225" s="4" t="s">
        <v>560</v>
      </c>
      <c r="C225" s="4" t="s">
        <v>527</v>
      </c>
      <c r="D225" s="25" t="s">
        <v>561</v>
      </c>
      <c r="E225" s="31" t="s">
        <v>57</v>
      </c>
      <c r="F225" s="14" t="n">
        <v>4915.246</v>
      </c>
      <c r="G225" s="15" t="n">
        <v>45496</v>
      </c>
      <c r="H225" s="5" t="s">
        <v>24</v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</row>
    <row r="226" customFormat="false" ht="15" hidden="false" customHeight="false" outlineLevel="0" collapsed="false">
      <c r="A226" s="16" t="s">
        <v>135</v>
      </c>
      <c r="B226" s="4" t="s">
        <v>562</v>
      </c>
      <c r="C226" s="4" t="s">
        <v>181</v>
      </c>
      <c r="D226" s="25" t="s">
        <v>563</v>
      </c>
      <c r="E226" s="31" t="s">
        <v>84</v>
      </c>
      <c r="F226" s="14" t="n">
        <v>19085.05</v>
      </c>
      <c r="G226" s="15" t="n">
        <v>45496</v>
      </c>
      <c r="H226" s="5" t="s">
        <v>24</v>
      </c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</row>
    <row r="227" customFormat="false" ht="15" hidden="false" customHeight="false" outlineLevel="0" collapsed="false">
      <c r="A227" s="16" t="s">
        <v>135</v>
      </c>
      <c r="B227" s="4" t="s">
        <v>564</v>
      </c>
      <c r="C227" s="4" t="s">
        <v>192</v>
      </c>
      <c r="D227" s="25" t="s">
        <v>565</v>
      </c>
      <c r="E227" s="31" t="s">
        <v>84</v>
      </c>
      <c r="F227" s="14" t="n">
        <v>7449.87</v>
      </c>
      <c r="G227" s="15" t="n">
        <v>45496</v>
      </c>
      <c r="H227" s="5" t="s">
        <v>24</v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</row>
    <row r="228" customFormat="false" ht="15" hidden="false" customHeight="false" outlineLevel="0" collapsed="false">
      <c r="A228" s="16" t="s">
        <v>135</v>
      </c>
      <c r="B228" s="4" t="s">
        <v>566</v>
      </c>
      <c r="C228" s="4" t="s">
        <v>137</v>
      </c>
      <c r="D228" s="25" t="s">
        <v>567</v>
      </c>
      <c r="E228" s="31" t="s">
        <v>84</v>
      </c>
      <c r="F228" s="14" t="n">
        <v>22433.3</v>
      </c>
      <c r="G228" s="15" t="n">
        <v>45496</v>
      </c>
      <c r="H228" s="5" t="s">
        <v>24</v>
      </c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</row>
    <row r="229" customFormat="false" ht="15" hidden="false" customHeight="false" outlineLevel="0" collapsed="false">
      <c r="A229" s="16" t="s">
        <v>135</v>
      </c>
      <c r="B229" s="4" t="s">
        <v>568</v>
      </c>
      <c r="C229" s="4" t="s">
        <v>240</v>
      </c>
      <c r="D229" s="25" t="s">
        <v>569</v>
      </c>
      <c r="E229" s="31" t="s">
        <v>84</v>
      </c>
      <c r="F229" s="14" t="n">
        <v>6696.51</v>
      </c>
      <c r="G229" s="15" t="n">
        <v>45497</v>
      </c>
      <c r="H229" s="5" t="s">
        <v>24</v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</row>
    <row r="230" customFormat="false" ht="15" hidden="false" customHeight="false" outlineLevel="0" collapsed="false">
      <c r="A230" s="16" t="s">
        <v>135</v>
      </c>
      <c r="B230" s="4" t="s">
        <v>570</v>
      </c>
      <c r="C230" s="4" t="s">
        <v>152</v>
      </c>
      <c r="D230" s="25" t="s">
        <v>571</v>
      </c>
      <c r="E230" s="31" t="s">
        <v>154</v>
      </c>
      <c r="F230" s="14" t="n">
        <v>54000</v>
      </c>
      <c r="G230" s="15" t="n">
        <v>45497</v>
      </c>
      <c r="H230" s="5" t="s">
        <v>24</v>
      </c>
      <c r="I230" s="16" t="s">
        <v>25</v>
      </c>
      <c r="J230" s="16" t="s">
        <v>25</v>
      </c>
      <c r="K230" s="16" t="n">
        <v>4</v>
      </c>
      <c r="L230" s="16" t="s">
        <v>25</v>
      </c>
      <c r="M230" s="16" t="s">
        <v>25</v>
      </c>
      <c r="N230" s="16" t="s">
        <v>25</v>
      </c>
      <c r="O230" s="16" t="n">
        <v>0</v>
      </c>
      <c r="P230" s="25"/>
      <c r="Q230" s="25"/>
      <c r="R230" s="25"/>
      <c r="S230" s="25"/>
    </row>
    <row r="231" customFormat="false" ht="15" hidden="false" customHeight="false" outlineLevel="0" collapsed="false">
      <c r="A231" s="16" t="s">
        <v>19</v>
      </c>
      <c r="B231" s="4" t="s">
        <v>572</v>
      </c>
      <c r="C231" s="4" t="s">
        <v>573</v>
      </c>
      <c r="D231" s="25" t="s">
        <v>574</v>
      </c>
      <c r="E231" s="31" t="s">
        <v>23</v>
      </c>
      <c r="F231" s="14" t="n">
        <v>9500</v>
      </c>
      <c r="G231" s="15" t="n">
        <v>45507</v>
      </c>
      <c r="H231" s="5" t="s">
        <v>24</v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</row>
    <row r="232" customFormat="false" ht="15" hidden="false" customHeight="false" outlineLevel="0" collapsed="false">
      <c r="A232" s="16" t="s">
        <v>215</v>
      </c>
      <c r="B232" s="4" t="s">
        <v>575</v>
      </c>
      <c r="C232" s="4" t="s">
        <v>240</v>
      </c>
      <c r="D232" s="25" t="s">
        <v>576</v>
      </c>
      <c r="E232" s="31" t="s">
        <v>132</v>
      </c>
      <c r="F232" s="14" t="n">
        <v>3500</v>
      </c>
      <c r="G232" s="15" t="n">
        <v>45509</v>
      </c>
      <c r="H232" s="5" t="s">
        <v>24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</row>
    <row r="233" customFormat="false" ht="15" hidden="false" customHeight="false" outlineLevel="0" collapsed="false">
      <c r="A233" s="16" t="s">
        <v>215</v>
      </c>
      <c r="B233" s="4" t="s">
        <v>577</v>
      </c>
      <c r="C233" s="4" t="s">
        <v>217</v>
      </c>
      <c r="D233" s="25" t="s">
        <v>578</v>
      </c>
      <c r="E233" s="31" t="s">
        <v>132</v>
      </c>
      <c r="F233" s="14" t="n">
        <v>26800</v>
      </c>
      <c r="G233" s="15" t="n">
        <v>45509</v>
      </c>
      <c r="H233" s="5" t="s">
        <v>24</v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</row>
    <row r="234" customFormat="false" ht="15" hidden="false" customHeight="false" outlineLevel="0" collapsed="false">
      <c r="A234" s="16" t="s">
        <v>19</v>
      </c>
      <c r="B234" s="4" t="s">
        <v>579</v>
      </c>
      <c r="C234" s="4" t="s">
        <v>580</v>
      </c>
      <c r="D234" s="25" t="s">
        <v>581</v>
      </c>
      <c r="E234" s="32" t="s">
        <v>479</v>
      </c>
      <c r="F234" s="28" t="n">
        <f aca="false">'Order Tracker'!H177</f>
        <v>438.98</v>
      </c>
      <c r="G234" s="15" t="n">
        <v>45509</v>
      </c>
      <c r="H234" s="5" t="s">
        <v>24</v>
      </c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</row>
    <row r="235" customFormat="false" ht="15" hidden="false" customHeight="false" outlineLevel="0" collapsed="false">
      <c r="A235" s="16" t="s">
        <v>135</v>
      </c>
      <c r="B235" s="4" t="s">
        <v>582</v>
      </c>
      <c r="C235" s="4" t="s">
        <v>583</v>
      </c>
      <c r="D235" s="25" t="s">
        <v>584</v>
      </c>
      <c r="E235" s="32" t="s">
        <v>70</v>
      </c>
      <c r="F235" s="28" t="n">
        <f aca="false">'Order Tracker'!H178</f>
        <v>32.205</v>
      </c>
      <c r="G235" s="15" t="n">
        <v>45509</v>
      </c>
      <c r="H235" s="5" t="s">
        <v>24</v>
      </c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customFormat="false" ht="15" hidden="false" customHeight="false" outlineLevel="0" collapsed="false">
      <c r="A236" s="16" t="s">
        <v>135</v>
      </c>
      <c r="B236" s="4" t="s">
        <v>585</v>
      </c>
      <c r="C236" s="4" t="s">
        <v>586</v>
      </c>
      <c r="D236" s="25" t="s">
        <v>587</v>
      </c>
      <c r="E236" s="32" t="s">
        <v>70</v>
      </c>
      <c r="F236" s="28" t="n">
        <f aca="false">'Order Tracker'!H179</f>
        <v>111.855</v>
      </c>
      <c r="G236" s="15" t="n">
        <v>45509</v>
      </c>
      <c r="H236" s="5" t="s">
        <v>24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</row>
    <row r="237" customFormat="false" ht="15" hidden="false" customHeight="false" outlineLevel="0" collapsed="false">
      <c r="A237" s="16" t="s">
        <v>135</v>
      </c>
      <c r="B237" s="4" t="s">
        <v>588</v>
      </c>
      <c r="C237" s="4" t="s">
        <v>209</v>
      </c>
      <c r="D237" s="25" t="s">
        <v>589</v>
      </c>
      <c r="E237" s="32" t="s">
        <v>70</v>
      </c>
      <c r="F237" s="28" t="n">
        <f aca="false">'Order Tracker'!H180</f>
        <v>124.245</v>
      </c>
      <c r="G237" s="15" t="n">
        <v>45509</v>
      </c>
      <c r="H237" s="5" t="s">
        <v>24</v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</row>
    <row r="238" customFormat="false" ht="15" hidden="false" customHeight="false" outlineLevel="0" collapsed="false">
      <c r="A238" s="16" t="s">
        <v>135</v>
      </c>
      <c r="B238" s="4" t="s">
        <v>590</v>
      </c>
      <c r="C238" s="4" t="s">
        <v>195</v>
      </c>
      <c r="D238" s="25" t="s">
        <v>591</v>
      </c>
      <c r="E238" s="32" t="s">
        <v>70</v>
      </c>
      <c r="F238" s="28" t="n">
        <f aca="false">'Order Tracker'!H181</f>
        <v>143.406</v>
      </c>
      <c r="G238" s="15" t="n">
        <v>45509</v>
      </c>
      <c r="H238" s="5" t="s">
        <v>24</v>
      </c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</row>
  </sheetData>
  <conditionalFormatting sqref="D175">
    <cfRule type="duplicateValues" priority="2" aboveAverage="0" equalAverage="0" bottom="0" percent="0" rank="0" text="" dxfId="0"/>
  </conditionalFormatting>
  <conditionalFormatting sqref="D81">
    <cfRule type="duplicateValues" priority="3" aboveAverage="0" equalAverage="0" bottom="0" percent="0" rank="0" text="" dxfId="1"/>
  </conditionalFormatting>
  <conditionalFormatting sqref="D82:D116">
    <cfRule type="duplicateValues" priority="4" aboveAverage="0" equalAverage="0" bottom="0" percent="0" rank="0" text="" dxfId="2"/>
  </conditionalFormatting>
  <hyperlinks>
    <hyperlink ref="D34" r:id="rId1" display="SIYI HM30"/>
    <hyperlink ref="D45" r:id="rId2" display="GEMFAN 5.2*2.5"/>
    <hyperlink ref="D77" r:id="rId3" display="PX4 Flow Sensor"/>
    <hyperlink ref="D79" r:id="rId4" display="seagull rec"/>
    <hyperlink ref="D82" r:id="rId5" display="64 GB CARD"/>
    <hyperlink ref="D84" r:id="rId6" display="2-13s UBEC "/>
    <hyperlink ref="D91" r:id="rId7" display="Pixhawk_2.4.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5" activePane="bottomLeft" state="frozen"/>
      <selection pane="topLeft" activeCell="A1" activeCellId="0" sqref="A1"/>
      <selection pane="bottomLeft" activeCell="E62" activeCellId="0" sqref="E62"/>
    </sheetView>
  </sheetViews>
  <sheetFormatPr defaultColWidth="8.54296875" defaultRowHeight="15" zeroHeight="false" outlineLevelRow="0" outlineLevelCol="0"/>
  <cols>
    <col collapsed="false" customWidth="true" hidden="false" outlineLevel="0" max="1" min="1" style="33" width="5.18"/>
    <col collapsed="false" customWidth="true" hidden="false" outlineLevel="0" max="2" min="2" style="33" width="10.45"/>
    <col collapsed="false" customWidth="false" hidden="false" outlineLevel="0" max="3" min="3" style="33" width="8.54"/>
    <col collapsed="false" customWidth="true" hidden="false" outlineLevel="0" max="4" min="4" style="33" width="16.18"/>
    <col collapsed="false" customWidth="true" hidden="false" outlineLevel="0" max="5" min="5" style="33" width="76.82"/>
    <col collapsed="false" customWidth="true" hidden="false" outlineLevel="0" max="6" min="6" style="33" width="4.18"/>
    <col collapsed="false" customWidth="true" hidden="false" outlineLevel="0" max="7" min="7" style="33" width="30.45"/>
    <col collapsed="false" customWidth="true" hidden="false" outlineLevel="0" max="9" min="8" style="33" width="13.27"/>
    <col collapsed="false" customWidth="true" hidden="false" outlineLevel="0" max="10" min="10" style="33" width="11.54"/>
    <col collapsed="false" customWidth="true" hidden="false" outlineLevel="0" max="11" min="11" style="33" width="9"/>
    <col collapsed="false" customWidth="true" hidden="false" outlineLevel="0" max="12" min="12" style="33" width="14.27"/>
    <col collapsed="false" customWidth="true" hidden="false" outlineLevel="0" max="13" min="13" style="33" width="13.27"/>
    <col collapsed="false" customWidth="true" hidden="false" outlineLevel="0" max="14" min="14" style="33" width="11.27"/>
    <col collapsed="false" customWidth="true" hidden="false" outlineLevel="0" max="15" min="15" style="33" width="23.18"/>
    <col collapsed="false" customWidth="true" hidden="false" outlineLevel="0" max="16" min="16" style="33" width="28.82"/>
    <col collapsed="false" customWidth="true" hidden="false" outlineLevel="0" max="17" min="17" style="33" width="33"/>
    <col collapsed="false" customWidth="false" hidden="false" outlineLevel="0" max="16384" min="18" style="33" width="8.54"/>
  </cols>
  <sheetData>
    <row r="1" customFormat="false" ht="15" hidden="false" customHeight="false" outlineLevel="0" collapsed="false">
      <c r="A1" s="34" t="s">
        <v>592</v>
      </c>
      <c r="B1" s="34" t="s">
        <v>593</v>
      </c>
      <c r="C1" s="34" t="s">
        <v>594</v>
      </c>
      <c r="D1" s="34" t="s">
        <v>1</v>
      </c>
      <c r="E1" s="34" t="s">
        <v>595</v>
      </c>
      <c r="F1" s="34" t="s">
        <v>596</v>
      </c>
      <c r="G1" s="34" t="s">
        <v>4</v>
      </c>
      <c r="H1" s="34" t="s">
        <v>597</v>
      </c>
      <c r="I1" s="34" t="s">
        <v>598</v>
      </c>
      <c r="J1" s="34" t="s">
        <v>599</v>
      </c>
      <c r="K1" s="34" t="s">
        <v>600</v>
      </c>
      <c r="L1" s="34" t="s">
        <v>601</v>
      </c>
      <c r="M1" s="34" t="s">
        <v>602</v>
      </c>
      <c r="N1" s="34" t="s">
        <v>603</v>
      </c>
      <c r="O1" s="34" t="s">
        <v>604</v>
      </c>
      <c r="P1" s="34" t="s">
        <v>605</v>
      </c>
      <c r="Q1" s="34" t="s">
        <v>606</v>
      </c>
    </row>
    <row r="2" customFormat="false" ht="15" hidden="false" customHeight="false" outlineLevel="0" collapsed="false">
      <c r="A2" s="35" t="n">
        <v>1</v>
      </c>
      <c r="B2" s="36" t="n">
        <v>45425</v>
      </c>
      <c r="C2" s="36"/>
      <c r="D2" s="36" t="s">
        <v>437</v>
      </c>
      <c r="E2" s="37" t="s">
        <v>438</v>
      </c>
      <c r="F2" s="35" t="n">
        <v>1</v>
      </c>
      <c r="G2" s="35" t="s">
        <v>70</v>
      </c>
      <c r="H2" s="38" t="n">
        <v>38903.81</v>
      </c>
      <c r="I2" s="38" t="n">
        <f aca="false">F2*H2</f>
        <v>38903.81</v>
      </c>
      <c r="J2" s="38" t="n">
        <f aca="false">0.05*I2</f>
        <v>1945.1905</v>
      </c>
      <c r="K2" s="38" t="n">
        <v>600</v>
      </c>
      <c r="L2" s="38" t="n">
        <f aca="false">SUM(I2:K2)</f>
        <v>41449.0005</v>
      </c>
      <c r="M2" s="39" t="s">
        <v>607</v>
      </c>
      <c r="N2" s="35" t="s">
        <v>608</v>
      </c>
      <c r="O2" s="40" t="s">
        <v>609</v>
      </c>
      <c r="P2" s="41"/>
      <c r="Q2" s="42"/>
    </row>
    <row r="3" customFormat="false" ht="15" hidden="false" customHeight="false" outlineLevel="0" collapsed="false">
      <c r="A3" s="17" t="n">
        <v>2</v>
      </c>
      <c r="B3" s="15" t="n">
        <v>45425</v>
      </c>
      <c r="C3" s="15"/>
      <c r="D3" s="4" t="s">
        <v>439</v>
      </c>
      <c r="E3" s="19" t="str">
        <f aca="false">VLOOKUP(D3,'Component Master'!B:D,3,0)</f>
        <v>CF Sheet 500*500mm*3mm</v>
      </c>
      <c r="F3" s="17" t="n">
        <v>2</v>
      </c>
      <c r="G3" s="17" t="s">
        <v>70</v>
      </c>
      <c r="H3" s="14" t="n">
        <v>7316.95</v>
      </c>
      <c r="I3" s="14" t="n">
        <f aca="false">F3*H3</f>
        <v>14633.9</v>
      </c>
      <c r="J3" s="14" t="n">
        <f aca="false">0.18*I3</f>
        <v>2634.102</v>
      </c>
      <c r="K3" s="14" t="n">
        <v>600</v>
      </c>
      <c r="L3" s="14" t="n">
        <f aca="false">SUM(I3:K3)</f>
        <v>17868.002</v>
      </c>
      <c r="M3" s="43" t="s">
        <v>607</v>
      </c>
      <c r="N3" s="17" t="s">
        <v>610</v>
      </c>
      <c r="O3" s="44" t="s">
        <v>609</v>
      </c>
      <c r="P3" s="45"/>
      <c r="Q3" s="29"/>
    </row>
    <row r="4" customFormat="false" ht="15" hidden="false" customHeight="false" outlineLevel="0" collapsed="false">
      <c r="A4" s="17" t="n">
        <v>3</v>
      </c>
      <c r="B4" s="15" t="n">
        <v>45425</v>
      </c>
      <c r="C4" s="15"/>
      <c r="D4" s="4" t="s">
        <v>416</v>
      </c>
      <c r="E4" s="19" t="str">
        <f aca="false">VLOOKUP(D4,'Component Master'!B:D,3,0)</f>
        <v>400mm*380mm*3mm</v>
      </c>
      <c r="F4" s="17" t="n">
        <v>2</v>
      </c>
      <c r="G4" s="17" t="s">
        <v>38</v>
      </c>
      <c r="H4" s="14" t="n">
        <v>4907</v>
      </c>
      <c r="I4" s="14" t="n">
        <f aca="false">F4*H4</f>
        <v>9814</v>
      </c>
      <c r="J4" s="14" t="n">
        <f aca="false">0.18*I4</f>
        <v>1766.52</v>
      </c>
      <c r="K4" s="14" t="n">
        <v>0</v>
      </c>
      <c r="L4" s="14" t="n">
        <f aca="false">SUM(I4:K4)</f>
        <v>11580.52</v>
      </c>
      <c r="M4" s="43" t="s">
        <v>607</v>
      </c>
      <c r="N4" s="17" t="s">
        <v>610</v>
      </c>
      <c r="O4" s="44" t="s">
        <v>609</v>
      </c>
      <c r="P4" s="45"/>
      <c r="Q4" s="29"/>
    </row>
    <row r="5" customFormat="false" ht="15" hidden="false" customHeight="false" outlineLevel="0" collapsed="false">
      <c r="A5" s="17" t="n">
        <v>4</v>
      </c>
      <c r="B5" s="15" t="n">
        <v>45425</v>
      </c>
      <c r="C5" s="15"/>
      <c r="D5" s="15" t="s">
        <v>65</v>
      </c>
      <c r="E5" s="19" t="s">
        <v>611</v>
      </c>
      <c r="F5" s="17" t="n">
        <v>1</v>
      </c>
      <c r="G5" s="17" t="s">
        <v>612</v>
      </c>
      <c r="H5" s="14" t="n">
        <v>75000</v>
      </c>
      <c r="I5" s="14" t="n">
        <f aca="false">F5*H5</f>
        <v>75000</v>
      </c>
      <c r="J5" s="14" t="n">
        <f aca="false">0.18*I5</f>
        <v>13500</v>
      </c>
      <c r="K5" s="14" t="n">
        <v>0</v>
      </c>
      <c r="L5" s="14" t="n">
        <f aca="false">SUM(I5:K5)</f>
        <v>88500</v>
      </c>
      <c r="M5" s="43" t="s">
        <v>607</v>
      </c>
      <c r="N5" s="17" t="s">
        <v>610</v>
      </c>
      <c r="O5" s="44" t="s">
        <v>609</v>
      </c>
      <c r="P5" s="45"/>
      <c r="Q5" s="29"/>
    </row>
    <row r="6" customFormat="false" ht="15" hidden="false" customHeight="false" outlineLevel="0" collapsed="false">
      <c r="A6" s="17" t="n">
        <v>5</v>
      </c>
      <c r="B6" s="15" t="n">
        <v>45425</v>
      </c>
      <c r="C6" s="15"/>
      <c r="D6" s="4" t="s">
        <v>434</v>
      </c>
      <c r="E6" s="19" t="s">
        <v>613</v>
      </c>
      <c r="F6" s="17" t="n">
        <v>2</v>
      </c>
      <c r="G6" s="17" t="s">
        <v>612</v>
      </c>
      <c r="H6" s="14" t="n">
        <v>38000</v>
      </c>
      <c r="I6" s="14" t="n">
        <f aca="false">F6*H6</f>
        <v>76000</v>
      </c>
      <c r="J6" s="14" t="n">
        <f aca="false">0.18*I6</f>
        <v>13680</v>
      </c>
      <c r="K6" s="14" t="n">
        <v>0</v>
      </c>
      <c r="L6" s="14" t="n">
        <f aca="false">SUM(I6:K6)</f>
        <v>89680</v>
      </c>
      <c r="M6" s="43" t="s">
        <v>607</v>
      </c>
      <c r="N6" s="17" t="s">
        <v>610</v>
      </c>
      <c r="O6" s="44" t="s">
        <v>609</v>
      </c>
      <c r="P6" s="45"/>
      <c r="Q6" s="29"/>
    </row>
    <row r="7" customFormat="false" ht="15" hidden="false" customHeight="false" outlineLevel="0" collapsed="false">
      <c r="A7" s="17" t="n">
        <v>6</v>
      </c>
      <c r="B7" s="46" t="n">
        <v>45426</v>
      </c>
      <c r="C7" s="46"/>
      <c r="D7" s="4" t="s">
        <v>441</v>
      </c>
      <c r="E7" s="19" t="s">
        <v>442</v>
      </c>
      <c r="F7" s="17" t="n">
        <v>12</v>
      </c>
      <c r="G7" s="17" t="s">
        <v>23</v>
      </c>
      <c r="H7" s="14" t="n">
        <v>4000</v>
      </c>
      <c r="I7" s="14" t="n">
        <f aca="false">F7*H7</f>
        <v>48000</v>
      </c>
      <c r="J7" s="14" t="n">
        <f aca="false">0.18*I7</f>
        <v>8640</v>
      </c>
      <c r="K7" s="14" t="n">
        <v>0</v>
      </c>
      <c r="L7" s="14" t="n">
        <f aca="false">SUM(I7:K7)</f>
        <v>56640</v>
      </c>
      <c r="M7" s="43" t="s">
        <v>607</v>
      </c>
      <c r="N7" s="17" t="s">
        <v>610</v>
      </c>
      <c r="O7" s="44" t="s">
        <v>609</v>
      </c>
      <c r="P7" s="45"/>
      <c r="Q7" s="29"/>
    </row>
    <row r="8" customFormat="false" ht="15" hidden="false" customHeight="false" outlineLevel="0" collapsed="false">
      <c r="A8" s="17" t="n">
        <v>7</v>
      </c>
      <c r="B8" s="46" t="n">
        <v>45426</v>
      </c>
      <c r="C8" s="46"/>
      <c r="D8" s="4" t="s">
        <v>443</v>
      </c>
      <c r="E8" s="19" t="s">
        <v>444</v>
      </c>
      <c r="F8" s="17" t="n">
        <v>3</v>
      </c>
      <c r="G8" s="17" t="s">
        <v>245</v>
      </c>
      <c r="H8" s="14" t="n">
        <v>4420</v>
      </c>
      <c r="I8" s="14" t="n">
        <f aca="false">F8*H8</f>
        <v>13260</v>
      </c>
      <c r="J8" s="14" t="n">
        <f aca="false">0.05*I8</f>
        <v>663</v>
      </c>
      <c r="K8" s="14" t="n">
        <v>0</v>
      </c>
      <c r="L8" s="14" t="n">
        <f aca="false">SUM(I8:K8)</f>
        <v>13923</v>
      </c>
      <c r="M8" s="43" t="s">
        <v>607</v>
      </c>
      <c r="N8" s="17" t="s">
        <v>610</v>
      </c>
      <c r="O8" s="44" t="s">
        <v>609</v>
      </c>
      <c r="P8" s="45"/>
      <c r="Q8" s="29"/>
    </row>
    <row r="9" customFormat="false" ht="15" hidden="false" customHeight="false" outlineLevel="0" collapsed="false">
      <c r="A9" s="17" t="n">
        <v>8</v>
      </c>
      <c r="B9" s="46" t="n">
        <v>45427</v>
      </c>
      <c r="C9" s="46"/>
      <c r="D9" s="4" t="s">
        <v>460</v>
      </c>
      <c r="E9" s="19" t="s">
        <v>461</v>
      </c>
      <c r="F9" s="17" t="n">
        <v>2</v>
      </c>
      <c r="G9" s="17" t="s">
        <v>245</v>
      </c>
      <c r="H9" s="14" t="n">
        <v>3900</v>
      </c>
      <c r="I9" s="14" t="n">
        <f aca="false">F9*H9</f>
        <v>7800</v>
      </c>
      <c r="J9" s="14" t="n">
        <f aca="false">0.05*I9</f>
        <v>390</v>
      </c>
      <c r="K9" s="14" t="n">
        <v>0</v>
      </c>
      <c r="L9" s="47" t="n">
        <f aca="false">SUM(I9:K9)</f>
        <v>8190</v>
      </c>
      <c r="M9" s="43" t="s">
        <v>607</v>
      </c>
      <c r="N9" s="17" t="s">
        <v>610</v>
      </c>
      <c r="O9" s="44" t="s">
        <v>609</v>
      </c>
      <c r="P9" s="45"/>
      <c r="Q9" s="29"/>
    </row>
    <row r="10" customFormat="false" ht="15" hidden="false" customHeight="false" outlineLevel="0" collapsed="false">
      <c r="A10" s="17" t="n">
        <v>9</v>
      </c>
      <c r="B10" s="46" t="n">
        <v>45427</v>
      </c>
      <c r="C10" s="46"/>
      <c r="D10" s="4" t="s">
        <v>462</v>
      </c>
      <c r="E10" s="19" t="s">
        <v>463</v>
      </c>
      <c r="F10" s="17" t="n">
        <v>2</v>
      </c>
      <c r="G10" s="17" t="s">
        <v>245</v>
      </c>
      <c r="H10" s="14" t="n">
        <v>500</v>
      </c>
      <c r="I10" s="14" t="n">
        <f aca="false">F10*H10</f>
        <v>1000</v>
      </c>
      <c r="J10" s="14" t="n">
        <f aca="false">0.05*I10</f>
        <v>50</v>
      </c>
      <c r="K10" s="14" t="n">
        <v>0</v>
      </c>
      <c r="L10" s="14" t="n">
        <f aca="false">SUM(I10:K10)</f>
        <v>1050</v>
      </c>
      <c r="M10" s="43" t="s">
        <v>607</v>
      </c>
      <c r="N10" s="17" t="s">
        <v>610</v>
      </c>
      <c r="O10" s="44" t="s">
        <v>609</v>
      </c>
      <c r="P10" s="45"/>
      <c r="Q10" s="29"/>
    </row>
    <row r="11" customFormat="false" ht="15" hidden="false" customHeight="false" outlineLevel="0" collapsed="false">
      <c r="A11" s="17" t="n">
        <v>10</v>
      </c>
      <c r="B11" s="46" t="n">
        <v>45427</v>
      </c>
      <c r="C11" s="46"/>
      <c r="D11" s="4" t="s">
        <v>464</v>
      </c>
      <c r="E11" s="19" t="s">
        <v>465</v>
      </c>
      <c r="F11" s="17" t="n">
        <v>2</v>
      </c>
      <c r="G11" s="17" t="s">
        <v>70</v>
      </c>
      <c r="H11" s="14" t="n">
        <v>224</v>
      </c>
      <c r="I11" s="14" t="n">
        <f aca="false">F11*H11</f>
        <v>448</v>
      </c>
      <c r="J11" s="47" t="n">
        <v>0</v>
      </c>
      <c r="K11" s="14" t="n">
        <f aca="false">49+25</f>
        <v>74</v>
      </c>
      <c r="L11" s="14" t="n">
        <f aca="false">SUM(I11:K11)</f>
        <v>522</v>
      </c>
      <c r="M11" s="43" t="s">
        <v>607</v>
      </c>
      <c r="N11" s="17" t="s">
        <v>610</v>
      </c>
      <c r="O11" s="44" t="s">
        <v>609</v>
      </c>
      <c r="P11" s="45"/>
      <c r="Q11" s="29" t="s">
        <v>614</v>
      </c>
    </row>
    <row r="12" customFormat="false" ht="15" hidden="false" customHeight="false" outlineLevel="0" collapsed="false">
      <c r="A12" s="17" t="n">
        <v>11</v>
      </c>
      <c r="B12" s="46" t="n">
        <v>45428</v>
      </c>
      <c r="C12" s="29"/>
      <c r="D12" s="4" t="s">
        <v>103</v>
      </c>
      <c r="E12" s="19" t="s">
        <v>615</v>
      </c>
      <c r="F12" s="17" t="n">
        <v>2</v>
      </c>
      <c r="G12" s="17" t="s">
        <v>102</v>
      </c>
      <c r="H12" s="14" t="n">
        <v>282.9</v>
      </c>
      <c r="I12" s="14" t="n">
        <f aca="false">F12*H12</f>
        <v>565.8</v>
      </c>
      <c r="J12" s="14" t="n">
        <f aca="false">0.18*I12</f>
        <v>101.844</v>
      </c>
      <c r="K12" s="14" t="n">
        <v>0</v>
      </c>
      <c r="L12" s="14" t="n">
        <f aca="false">SUM(I12:K12)</f>
        <v>667.644</v>
      </c>
      <c r="M12" s="43" t="s">
        <v>607</v>
      </c>
      <c r="N12" s="17" t="s">
        <v>610</v>
      </c>
      <c r="O12" s="44" t="s">
        <v>609</v>
      </c>
      <c r="P12" s="45"/>
      <c r="Q12" s="29"/>
    </row>
    <row r="13" customFormat="false" ht="15" hidden="false" customHeight="false" outlineLevel="0" collapsed="false">
      <c r="A13" s="17" t="n">
        <v>12</v>
      </c>
      <c r="B13" s="46" t="n">
        <v>45428</v>
      </c>
      <c r="C13" s="29"/>
      <c r="D13" s="4" t="s">
        <v>103</v>
      </c>
      <c r="E13" s="19" t="s">
        <v>616</v>
      </c>
      <c r="F13" s="17" t="n">
        <v>2</v>
      </c>
      <c r="G13" s="17" t="s">
        <v>102</v>
      </c>
      <c r="H13" s="14" t="n">
        <v>2492.8</v>
      </c>
      <c r="I13" s="14" t="n">
        <f aca="false">F13*H13</f>
        <v>4985.6</v>
      </c>
      <c r="J13" s="14" t="n">
        <f aca="false">0.18*I13</f>
        <v>897.408</v>
      </c>
      <c r="K13" s="14" t="n">
        <v>0</v>
      </c>
      <c r="L13" s="14" t="n">
        <f aca="false">SUM(I13:K13)</f>
        <v>5883.008</v>
      </c>
      <c r="M13" s="43" t="s">
        <v>607</v>
      </c>
      <c r="N13" s="17" t="s">
        <v>610</v>
      </c>
      <c r="O13" s="44" t="s">
        <v>609</v>
      </c>
      <c r="P13" s="45"/>
      <c r="Q13" s="29"/>
    </row>
    <row r="14" customFormat="false" ht="15" hidden="false" customHeight="false" outlineLevel="0" collapsed="false">
      <c r="A14" s="17" t="n">
        <v>13</v>
      </c>
      <c r="B14" s="46" t="n">
        <v>45429</v>
      </c>
      <c r="C14" s="29"/>
      <c r="D14" s="4" t="s">
        <v>103</v>
      </c>
      <c r="E14" s="19" t="s">
        <v>101</v>
      </c>
      <c r="F14" s="17" t="n">
        <v>1</v>
      </c>
      <c r="G14" s="17" t="s">
        <v>500</v>
      </c>
      <c r="H14" s="14" t="n">
        <v>21750</v>
      </c>
      <c r="I14" s="14" t="n">
        <f aca="false">F14*H14</f>
        <v>21750</v>
      </c>
      <c r="J14" s="14" t="n">
        <f aca="false">0.18*I14</f>
        <v>3915</v>
      </c>
      <c r="K14" s="14" t="n">
        <v>100</v>
      </c>
      <c r="L14" s="14" t="n">
        <f aca="false">SUM(I14:K14)</f>
        <v>25765</v>
      </c>
      <c r="M14" s="43" t="s">
        <v>607</v>
      </c>
      <c r="N14" s="17" t="s">
        <v>610</v>
      </c>
      <c r="O14" s="44" t="s">
        <v>609</v>
      </c>
      <c r="P14" s="45"/>
      <c r="Q14" s="29"/>
    </row>
    <row r="15" customFormat="false" ht="15" hidden="false" customHeight="false" outlineLevel="0" collapsed="false">
      <c r="A15" s="17" t="n">
        <v>14</v>
      </c>
      <c r="B15" s="46" t="n">
        <v>45429</v>
      </c>
      <c r="C15" s="29"/>
      <c r="D15" s="4" t="s">
        <v>103</v>
      </c>
      <c r="E15" s="19" t="s">
        <v>617</v>
      </c>
      <c r="F15" s="17" t="n">
        <v>1</v>
      </c>
      <c r="G15" s="17" t="s">
        <v>500</v>
      </c>
      <c r="H15" s="14" t="n">
        <v>6300</v>
      </c>
      <c r="I15" s="14" t="n">
        <f aca="false">F15*H15</f>
        <v>6300</v>
      </c>
      <c r="J15" s="14" t="n">
        <f aca="false">0.18*I15</f>
        <v>1134</v>
      </c>
      <c r="K15" s="14" t="n">
        <v>100</v>
      </c>
      <c r="L15" s="14" t="n">
        <f aca="false">SUM(I15:K15)</f>
        <v>7534</v>
      </c>
      <c r="M15" s="43" t="s">
        <v>607</v>
      </c>
      <c r="N15" s="17" t="s">
        <v>610</v>
      </c>
      <c r="O15" s="44" t="s">
        <v>609</v>
      </c>
      <c r="P15" s="45"/>
      <c r="Q15" s="29"/>
    </row>
    <row r="16" customFormat="false" ht="15" hidden="false" customHeight="false" outlineLevel="0" collapsed="false">
      <c r="A16" s="17" t="n">
        <v>15</v>
      </c>
      <c r="B16" s="46" t="n">
        <v>45429</v>
      </c>
      <c r="C16" s="29"/>
      <c r="D16" s="4" t="s">
        <v>65</v>
      </c>
      <c r="E16" s="19" t="s">
        <v>618</v>
      </c>
      <c r="F16" s="17" t="n">
        <v>1</v>
      </c>
      <c r="G16" s="17" t="s">
        <v>619</v>
      </c>
      <c r="H16" s="14" t="n">
        <v>5900</v>
      </c>
      <c r="I16" s="14" t="n">
        <f aca="false">F16*H16</f>
        <v>5900</v>
      </c>
      <c r="J16" s="14" t="n">
        <f aca="false">0.18*I16</f>
        <v>1062</v>
      </c>
      <c r="K16" s="14" t="n">
        <v>0</v>
      </c>
      <c r="L16" s="14" t="n">
        <f aca="false">SUM(I16:K16)</f>
        <v>6962</v>
      </c>
      <c r="M16" s="43" t="s">
        <v>607</v>
      </c>
      <c r="N16" s="17" t="s">
        <v>610</v>
      </c>
      <c r="O16" s="44" t="s">
        <v>609</v>
      </c>
      <c r="P16" s="45"/>
      <c r="Q16" s="29"/>
    </row>
    <row r="17" customFormat="false" ht="15" hidden="false" customHeight="false" outlineLevel="0" collapsed="false">
      <c r="A17" s="17" t="n">
        <v>16</v>
      </c>
      <c r="B17" s="46" t="n">
        <v>45434</v>
      </c>
      <c r="C17" s="29"/>
      <c r="D17" s="4" t="s">
        <v>95</v>
      </c>
      <c r="E17" s="19" t="str">
        <f aca="false">VLOOKUP(D17,'Component Master'!B6:D189,3,0)</f>
        <v>Alind water jet cutting</v>
      </c>
      <c r="F17" s="17" t="n">
        <v>2</v>
      </c>
      <c r="G17" s="17" t="s">
        <v>98</v>
      </c>
      <c r="H17" s="14" t="n">
        <v>1079</v>
      </c>
      <c r="I17" s="14" t="n">
        <f aca="false">F17*H17</f>
        <v>2158</v>
      </c>
      <c r="J17" s="47" t="n">
        <f aca="false">0.12*I17</f>
        <v>258.96</v>
      </c>
      <c r="K17" s="14" t="n">
        <v>0</v>
      </c>
      <c r="L17" s="14" t="n">
        <f aca="false">SUM(I17:K17)</f>
        <v>2416.96</v>
      </c>
      <c r="M17" s="43" t="s">
        <v>607</v>
      </c>
      <c r="N17" s="17" t="s">
        <v>610</v>
      </c>
      <c r="O17" s="44" t="s">
        <v>609</v>
      </c>
      <c r="P17" s="45"/>
      <c r="Q17" s="29"/>
    </row>
    <row r="18" customFormat="false" ht="15" hidden="false" customHeight="false" outlineLevel="0" collapsed="false">
      <c r="A18" s="17" t="n">
        <v>17</v>
      </c>
      <c r="B18" s="46" t="n">
        <v>45434</v>
      </c>
      <c r="C18" s="29"/>
      <c r="D18" s="4" t="s">
        <v>95</v>
      </c>
      <c r="E18" s="19" t="str">
        <f aca="false">VLOOKUP(D18,'Component Master'!B7:D190,3,0)</f>
        <v>Alind water jet cutting</v>
      </c>
      <c r="F18" s="17" t="n">
        <v>2</v>
      </c>
      <c r="G18" s="17" t="s">
        <v>98</v>
      </c>
      <c r="H18" s="14" t="n">
        <v>1100</v>
      </c>
      <c r="I18" s="14" t="n">
        <f aca="false">F18*H18</f>
        <v>2200</v>
      </c>
      <c r="J18" s="47" t="n">
        <f aca="false">0.12*I18</f>
        <v>264</v>
      </c>
      <c r="K18" s="14" t="n">
        <v>0</v>
      </c>
      <c r="L18" s="14" t="n">
        <f aca="false">SUM(I18:K18)</f>
        <v>2464</v>
      </c>
      <c r="M18" s="43" t="s">
        <v>607</v>
      </c>
      <c r="N18" s="17" t="s">
        <v>610</v>
      </c>
      <c r="O18" s="44" t="s">
        <v>609</v>
      </c>
      <c r="P18" s="45"/>
      <c r="Q18" s="29"/>
    </row>
    <row r="19" customFormat="false" ht="15" hidden="false" customHeight="false" outlineLevel="0" collapsed="false">
      <c r="A19" s="17" t="n">
        <v>18</v>
      </c>
      <c r="B19" s="46" t="n">
        <v>45435</v>
      </c>
      <c r="C19" s="29"/>
      <c r="D19" s="4" t="s">
        <v>466</v>
      </c>
      <c r="E19" s="19" t="str">
        <f aca="false">VLOOKUP(D19,'Component Master'!B8:D191,3,0)</f>
        <v>Liquid water Level sensor</v>
      </c>
      <c r="F19" s="17" t="n">
        <v>3</v>
      </c>
      <c r="G19" s="17" t="s">
        <v>70</v>
      </c>
      <c r="H19" s="14" t="n">
        <v>508.47</v>
      </c>
      <c r="I19" s="14" t="n">
        <f aca="false">F19*H19</f>
        <v>1525.41</v>
      </c>
      <c r="J19" s="47" t="n">
        <f aca="false">0.18*I19</f>
        <v>274.5738</v>
      </c>
      <c r="K19" s="14" t="n">
        <v>62</v>
      </c>
      <c r="L19" s="14" t="n">
        <f aca="false">SUM(I19:K19)</f>
        <v>1861.9838</v>
      </c>
      <c r="M19" s="43" t="s">
        <v>607</v>
      </c>
      <c r="N19" s="17" t="s">
        <v>610</v>
      </c>
      <c r="O19" s="44" t="s">
        <v>609</v>
      </c>
      <c r="P19" s="45"/>
      <c r="Q19" s="29"/>
    </row>
    <row r="20" customFormat="false" ht="15" hidden="false" customHeight="false" outlineLevel="0" collapsed="false">
      <c r="A20" s="17" t="n">
        <v>19</v>
      </c>
      <c r="B20" s="46" t="n">
        <v>45435</v>
      </c>
      <c r="C20" s="29"/>
      <c r="D20" s="4" t="s">
        <v>464</v>
      </c>
      <c r="E20" s="19" t="str">
        <f aca="false">VLOOKUP(D20,'Component Master'!B9:D192,3,0)</f>
        <v>Water flow sensor-White</v>
      </c>
      <c r="F20" s="17" t="n">
        <v>1</v>
      </c>
      <c r="G20" s="17" t="s">
        <v>70</v>
      </c>
      <c r="H20" s="14" t="n">
        <v>224</v>
      </c>
      <c r="I20" s="14" t="n">
        <f aca="false">F20*H20</f>
        <v>224</v>
      </c>
      <c r="J20" s="47" t="n">
        <v>0</v>
      </c>
      <c r="K20" s="14" t="n">
        <v>62</v>
      </c>
      <c r="L20" s="14" t="n">
        <f aca="false">SUM(I20:K20)</f>
        <v>286</v>
      </c>
      <c r="M20" s="43" t="s">
        <v>607</v>
      </c>
      <c r="N20" s="17" t="s">
        <v>610</v>
      </c>
      <c r="O20" s="44" t="s">
        <v>609</v>
      </c>
      <c r="P20" s="45"/>
      <c r="Q20" s="29"/>
    </row>
    <row r="21" customFormat="false" ht="15" hidden="false" customHeight="false" outlineLevel="0" collapsed="false">
      <c r="A21" s="17" t="n">
        <v>20</v>
      </c>
      <c r="B21" s="46" t="n">
        <v>45435</v>
      </c>
      <c r="C21" s="29"/>
      <c r="D21" s="4" t="s">
        <v>31</v>
      </c>
      <c r="E21" s="19" t="str">
        <f aca="false">VLOOKUP(D21,'Component Master'!B2:D194,3,0)</f>
        <v>Agri Carry case with Foam</v>
      </c>
      <c r="F21" s="17" t="n">
        <v>2</v>
      </c>
      <c r="G21" s="17" t="s">
        <v>23</v>
      </c>
      <c r="H21" s="14" t="n">
        <v>10750</v>
      </c>
      <c r="I21" s="14" t="n">
        <f aca="false">F21*H21</f>
        <v>21500</v>
      </c>
      <c r="J21" s="47" t="n">
        <f aca="false">0.18*I21</f>
        <v>3870</v>
      </c>
      <c r="K21" s="14" t="n">
        <v>0</v>
      </c>
      <c r="L21" s="14" t="n">
        <f aca="false">SUM(I21:K21)</f>
        <v>25370</v>
      </c>
      <c r="M21" s="43" t="s">
        <v>607</v>
      </c>
      <c r="N21" s="17" t="s">
        <v>610</v>
      </c>
      <c r="O21" s="44" t="s">
        <v>609</v>
      </c>
      <c r="P21" s="45"/>
      <c r="Q21" s="29"/>
    </row>
    <row r="22" customFormat="false" ht="15" hidden="false" customHeight="false" outlineLevel="0" collapsed="false">
      <c r="A22" s="17" t="n">
        <v>21</v>
      </c>
      <c r="B22" s="46" t="n">
        <v>45435</v>
      </c>
      <c r="C22" s="29"/>
      <c r="D22" s="4" t="s">
        <v>458</v>
      </c>
      <c r="E22" s="19" t="str">
        <f aca="false">VLOOKUP(D22,'Component Master'!B3:D195,3,0)</f>
        <v>GPS Stand-Agri</v>
      </c>
      <c r="F22" s="17" t="n">
        <v>2</v>
      </c>
      <c r="G22" s="29" t="s">
        <v>455</v>
      </c>
      <c r="H22" s="14" t="n">
        <v>380</v>
      </c>
      <c r="I22" s="14" t="n">
        <f aca="false">F22*H22</f>
        <v>760</v>
      </c>
      <c r="J22" s="47" t="n">
        <f aca="false">0.05*I22</f>
        <v>38</v>
      </c>
      <c r="K22" s="14" t="n">
        <v>0</v>
      </c>
      <c r="L22" s="14" t="n">
        <f aca="false">SUM(I22:K22)</f>
        <v>798</v>
      </c>
      <c r="M22" s="43" t="s">
        <v>607</v>
      </c>
      <c r="N22" s="17" t="s">
        <v>610</v>
      </c>
      <c r="O22" s="44" t="s">
        <v>609</v>
      </c>
      <c r="P22" s="45"/>
      <c r="Q22" s="29"/>
    </row>
    <row r="23" customFormat="false" ht="15" hidden="false" customHeight="false" outlineLevel="0" collapsed="false">
      <c r="A23" s="17" t="n">
        <v>22</v>
      </c>
      <c r="B23" s="46" t="n">
        <v>45435</v>
      </c>
      <c r="C23" s="29"/>
      <c r="D23" s="4" t="s">
        <v>441</v>
      </c>
      <c r="E23" s="19" t="str">
        <f aca="false">VLOOKUP(D23,'Component Master'!B4:D196,3,0)</f>
        <v>Aluminium mount</v>
      </c>
      <c r="F23" s="17" t="n">
        <v>12</v>
      </c>
      <c r="G23" s="17" t="s">
        <v>23</v>
      </c>
      <c r="H23" s="14" t="n">
        <v>2750</v>
      </c>
      <c r="I23" s="14" t="n">
        <f aca="false">F23*H23</f>
        <v>33000</v>
      </c>
      <c r="J23" s="47" t="n">
        <v>6048</v>
      </c>
      <c r="K23" s="14" t="n">
        <v>600</v>
      </c>
      <c r="L23" s="14" t="n">
        <f aca="false">SUM(I23:K23)</f>
        <v>39648</v>
      </c>
      <c r="M23" s="43" t="s">
        <v>607</v>
      </c>
      <c r="N23" s="17" t="s">
        <v>610</v>
      </c>
      <c r="O23" s="44" t="s">
        <v>609</v>
      </c>
      <c r="P23" s="45"/>
      <c r="Q23" s="29"/>
    </row>
    <row r="24" customFormat="false" ht="15" hidden="false" customHeight="false" outlineLevel="0" collapsed="false">
      <c r="A24" s="17" t="n">
        <v>23</v>
      </c>
      <c r="B24" s="46" t="n">
        <v>45435</v>
      </c>
      <c r="C24" s="29"/>
      <c r="D24" s="4" t="s">
        <v>300</v>
      </c>
      <c r="E24" s="48" t="str">
        <f aca="false">VLOOKUP(D24,'Component Master'!B5:D197,3,0)</f>
        <v>Pump,Nozzle,Hose &amp; Pneumatic Connectors</v>
      </c>
      <c r="F24" s="17" t="n">
        <v>1</v>
      </c>
      <c r="G24" s="17" t="s">
        <v>455</v>
      </c>
      <c r="H24" s="14" t="n">
        <v>6048</v>
      </c>
      <c r="I24" s="14" t="n">
        <f aca="false">F24*H24</f>
        <v>6048</v>
      </c>
      <c r="J24" s="47" t="n">
        <f aca="false">0.05*I24</f>
        <v>302.4</v>
      </c>
      <c r="K24" s="14" t="n">
        <v>0</v>
      </c>
      <c r="L24" s="14" t="n">
        <f aca="false">SUM(I24:K24)</f>
        <v>6350.4</v>
      </c>
      <c r="M24" s="43" t="s">
        <v>607</v>
      </c>
      <c r="N24" s="17" t="s">
        <v>610</v>
      </c>
      <c r="O24" s="44" t="s">
        <v>609</v>
      </c>
      <c r="P24" s="45"/>
      <c r="Q24" s="29"/>
    </row>
    <row r="25" customFormat="false" ht="15" hidden="false" customHeight="false" outlineLevel="0" collapsed="false">
      <c r="A25" s="17" t="n">
        <v>24</v>
      </c>
      <c r="B25" s="46" t="n">
        <v>45436</v>
      </c>
      <c r="C25" s="29" t="s">
        <v>620</v>
      </c>
      <c r="D25" s="4" t="s">
        <v>103</v>
      </c>
      <c r="E25" s="19" t="s">
        <v>101</v>
      </c>
      <c r="F25" s="17" t="n">
        <v>1</v>
      </c>
      <c r="G25" s="17" t="s">
        <v>621</v>
      </c>
      <c r="H25" s="14" t="n">
        <v>16425</v>
      </c>
      <c r="I25" s="14" t="n">
        <f aca="false">F25*H25</f>
        <v>16425</v>
      </c>
      <c r="J25" s="47" t="n">
        <f aca="false">0.18*I25</f>
        <v>2956.5</v>
      </c>
      <c r="K25" s="14" t="n">
        <v>0</v>
      </c>
      <c r="L25" s="14" t="n">
        <f aca="false">SUM(I25:K25)</f>
        <v>19381.5</v>
      </c>
      <c r="M25" s="43" t="s">
        <v>607</v>
      </c>
      <c r="N25" s="17" t="s">
        <v>610</v>
      </c>
      <c r="O25" s="44" t="s">
        <v>609</v>
      </c>
      <c r="P25" s="45"/>
      <c r="Q25" s="29"/>
    </row>
    <row r="26" customFormat="false" ht="15" hidden="false" customHeight="false" outlineLevel="0" collapsed="false">
      <c r="A26" s="17" t="n">
        <v>25</v>
      </c>
      <c r="B26" s="46" t="n">
        <v>45436</v>
      </c>
      <c r="C26" s="29"/>
      <c r="D26" s="4" t="s">
        <v>95</v>
      </c>
      <c r="E26" s="19" t="str">
        <f aca="false">VLOOKUP(D26,'Component Master'!B7:D199,3,0)</f>
        <v>Alind water jet cutting</v>
      </c>
      <c r="F26" s="17" t="n">
        <v>1</v>
      </c>
      <c r="G26" s="17" t="s">
        <v>98</v>
      </c>
      <c r="H26" s="14" t="n">
        <v>1100</v>
      </c>
      <c r="I26" s="14" t="n">
        <f aca="false">F26*H26</f>
        <v>1100</v>
      </c>
      <c r="J26" s="47" t="n">
        <f aca="false">0.12*I26</f>
        <v>132</v>
      </c>
      <c r="K26" s="14" t="n">
        <v>0</v>
      </c>
      <c r="L26" s="14" t="n">
        <f aca="false">SUM(I26:K26)</f>
        <v>1232</v>
      </c>
      <c r="M26" s="43" t="s">
        <v>607</v>
      </c>
      <c r="N26" s="17" t="s">
        <v>610</v>
      </c>
      <c r="O26" s="44" t="s">
        <v>609</v>
      </c>
      <c r="P26" s="45"/>
      <c r="Q26" s="29"/>
    </row>
    <row r="27" customFormat="false" ht="15" hidden="false" customHeight="false" outlineLevel="0" collapsed="false">
      <c r="A27" s="17" t="n">
        <v>26</v>
      </c>
      <c r="B27" s="46" t="n">
        <v>45436</v>
      </c>
      <c r="C27" s="29"/>
      <c r="D27" s="4" t="s">
        <v>468</v>
      </c>
      <c r="E27" s="19" t="str">
        <f aca="false">VLOOKUP(D27,'Component Master'!B8:D200,3,0)</f>
        <v>QS8-S Anti spark Male/Female connector pair</v>
      </c>
      <c r="F27" s="17" t="n">
        <v>2</v>
      </c>
      <c r="G27" s="17" t="s">
        <v>70</v>
      </c>
      <c r="H27" s="14" t="n">
        <v>669</v>
      </c>
      <c r="I27" s="14" t="n">
        <f aca="false">F27*H27</f>
        <v>1338</v>
      </c>
      <c r="J27" s="47" t="n">
        <v>0</v>
      </c>
      <c r="K27" s="14" t="n">
        <v>0</v>
      </c>
      <c r="L27" s="14" t="n">
        <f aca="false">SUM(I27:K27)</f>
        <v>1338</v>
      </c>
      <c r="M27" s="43" t="s">
        <v>607</v>
      </c>
      <c r="N27" s="17" t="s">
        <v>610</v>
      </c>
      <c r="O27" s="44" t="s">
        <v>609</v>
      </c>
      <c r="P27" s="45"/>
      <c r="Q27" s="29"/>
    </row>
    <row r="28" customFormat="false" ht="15" hidden="false" customHeight="false" outlineLevel="0" collapsed="false">
      <c r="A28" s="17" t="n">
        <v>27</v>
      </c>
      <c r="B28" s="46" t="n">
        <v>45439</v>
      </c>
      <c r="C28" s="29"/>
      <c r="D28" s="17" t="s">
        <v>65</v>
      </c>
      <c r="E28" s="19" t="s">
        <v>622</v>
      </c>
      <c r="F28" s="17" t="n">
        <v>1</v>
      </c>
      <c r="G28" s="17" t="s">
        <v>84</v>
      </c>
      <c r="H28" s="47" t="n">
        <v>249961.4</v>
      </c>
      <c r="I28" s="14" t="n">
        <f aca="false">F28*H28</f>
        <v>249961.4</v>
      </c>
      <c r="J28" s="47" t="n">
        <v>0</v>
      </c>
      <c r="K28" s="47" t="n">
        <v>0</v>
      </c>
      <c r="L28" s="14" t="n">
        <f aca="false">SUM(I28:K28)</f>
        <v>249961.4</v>
      </c>
      <c r="M28" s="43" t="s">
        <v>607</v>
      </c>
      <c r="N28" s="29"/>
      <c r="O28" s="17" t="s">
        <v>65</v>
      </c>
      <c r="P28" s="45"/>
      <c r="Q28" s="29" t="s">
        <v>623</v>
      </c>
    </row>
    <row r="29" customFormat="false" ht="15" hidden="false" customHeight="false" outlineLevel="0" collapsed="false">
      <c r="A29" s="17" t="n">
        <v>28</v>
      </c>
      <c r="B29" s="46" t="n">
        <v>45439</v>
      </c>
      <c r="C29" s="29"/>
      <c r="D29" s="17" t="s">
        <v>65</v>
      </c>
      <c r="E29" s="19" t="s">
        <v>624</v>
      </c>
      <c r="F29" s="17" t="n">
        <v>1</v>
      </c>
      <c r="G29" s="17" t="s">
        <v>84</v>
      </c>
      <c r="H29" s="47" t="n">
        <v>241626.58</v>
      </c>
      <c r="I29" s="14" t="n">
        <f aca="false">F29*H29</f>
        <v>241626.58</v>
      </c>
      <c r="J29" s="47" t="n">
        <v>0</v>
      </c>
      <c r="K29" s="47" t="n">
        <v>0</v>
      </c>
      <c r="L29" s="14" t="n">
        <f aca="false">SUM(I29:K29)</f>
        <v>241626.58</v>
      </c>
      <c r="M29" s="43" t="s">
        <v>607</v>
      </c>
      <c r="N29" s="29"/>
      <c r="O29" s="17" t="s">
        <v>65</v>
      </c>
      <c r="P29" s="45"/>
      <c r="Q29" s="29" t="s">
        <v>623</v>
      </c>
    </row>
    <row r="30" customFormat="false" ht="15" hidden="false" customHeight="false" outlineLevel="0" collapsed="false">
      <c r="A30" s="17" t="n">
        <v>29</v>
      </c>
      <c r="B30" s="46" t="n">
        <v>45439</v>
      </c>
      <c r="C30" s="29"/>
      <c r="D30" s="4" t="s">
        <v>103</v>
      </c>
      <c r="E30" s="19" t="s">
        <v>625</v>
      </c>
      <c r="F30" s="17" t="n">
        <v>2</v>
      </c>
      <c r="G30" s="17" t="s">
        <v>102</v>
      </c>
      <c r="H30" s="47" t="n">
        <f aca="false">425.7</f>
        <v>425.7</v>
      </c>
      <c r="I30" s="14" t="n">
        <f aca="false">F30*H30</f>
        <v>851.4</v>
      </c>
      <c r="J30" s="47" t="n">
        <v>188.34</v>
      </c>
      <c r="K30" s="14" t="n">
        <v>225</v>
      </c>
      <c r="L30" s="14" t="n">
        <f aca="false">SUM(I30:K30)</f>
        <v>1264.74</v>
      </c>
      <c r="M30" s="43" t="s">
        <v>607</v>
      </c>
      <c r="N30" s="17" t="s">
        <v>610</v>
      </c>
      <c r="O30" s="44" t="s">
        <v>609</v>
      </c>
      <c r="P30" s="45"/>
      <c r="Q30" s="29"/>
    </row>
    <row r="31" customFormat="false" ht="15" hidden="false" customHeight="false" outlineLevel="0" collapsed="false">
      <c r="A31" s="17" t="n">
        <v>30</v>
      </c>
      <c r="B31" s="46" t="n">
        <v>45439</v>
      </c>
      <c r="C31" s="29"/>
      <c r="D31" s="4" t="s">
        <v>103</v>
      </c>
      <c r="E31" s="19" t="s">
        <v>626</v>
      </c>
      <c r="F31" s="17" t="n">
        <v>2</v>
      </c>
      <c r="G31" s="17" t="s">
        <v>102</v>
      </c>
      <c r="H31" s="47" t="n">
        <v>395.6</v>
      </c>
      <c r="I31" s="14" t="n">
        <f aca="false">F31*H31</f>
        <v>791.2</v>
      </c>
      <c r="J31" s="47" t="n">
        <v>188.34</v>
      </c>
      <c r="K31" s="14" t="n">
        <v>225</v>
      </c>
      <c r="L31" s="14" t="n">
        <f aca="false">SUM(I31:K31)</f>
        <v>1204.54</v>
      </c>
      <c r="M31" s="43" t="s">
        <v>607</v>
      </c>
      <c r="N31" s="17" t="s">
        <v>610</v>
      </c>
      <c r="O31" s="44" t="s">
        <v>609</v>
      </c>
      <c r="P31" s="45"/>
      <c r="Q31" s="29"/>
    </row>
    <row r="32" customFormat="false" ht="15" hidden="false" customHeight="false" outlineLevel="0" collapsed="false">
      <c r="A32" s="17" t="n">
        <v>31</v>
      </c>
      <c r="B32" s="46" t="n">
        <v>45439</v>
      </c>
      <c r="C32" s="29"/>
      <c r="D32" s="4" t="s">
        <v>103</v>
      </c>
      <c r="E32" s="19" t="s">
        <v>101</v>
      </c>
      <c r="F32" s="17" t="n">
        <v>2</v>
      </c>
      <c r="G32" s="17" t="s">
        <v>500</v>
      </c>
      <c r="H32" s="47" t="n">
        <v>21920</v>
      </c>
      <c r="I32" s="47" t="n">
        <f aca="false">F32*H32</f>
        <v>43840</v>
      </c>
      <c r="J32" s="47" t="n">
        <f aca="false">0.18*I32</f>
        <v>7891.2</v>
      </c>
      <c r="K32" s="47" t="n">
        <v>118</v>
      </c>
      <c r="L32" s="14" t="n">
        <f aca="false">SUM(I32:K32)</f>
        <v>51849.2</v>
      </c>
      <c r="M32" s="43" t="s">
        <v>607</v>
      </c>
      <c r="N32" s="17" t="s">
        <v>610</v>
      </c>
      <c r="O32" s="44" t="s">
        <v>609</v>
      </c>
      <c r="P32" s="45"/>
      <c r="Q32" s="29"/>
    </row>
    <row r="33" customFormat="false" ht="15" hidden="false" customHeight="false" outlineLevel="0" collapsed="false">
      <c r="A33" s="17" t="n">
        <v>32</v>
      </c>
      <c r="B33" s="46" t="n">
        <v>45439</v>
      </c>
      <c r="C33" s="29"/>
      <c r="D33" s="4" t="s">
        <v>103</v>
      </c>
      <c r="E33" s="19" t="s">
        <v>617</v>
      </c>
      <c r="F33" s="17" t="n">
        <v>1</v>
      </c>
      <c r="G33" s="17" t="s">
        <v>500</v>
      </c>
      <c r="H33" s="47" t="n">
        <v>6300</v>
      </c>
      <c r="I33" s="47" t="n">
        <f aca="false">F33*H33</f>
        <v>6300</v>
      </c>
      <c r="J33" s="47" t="n">
        <f aca="false">0.18*I33</f>
        <v>1134</v>
      </c>
      <c r="K33" s="47" t="n">
        <v>118</v>
      </c>
      <c r="L33" s="14" t="n">
        <f aca="false">SUM(I33:K33)</f>
        <v>7552</v>
      </c>
      <c r="M33" s="43" t="s">
        <v>607</v>
      </c>
      <c r="N33" s="17" t="s">
        <v>610</v>
      </c>
      <c r="O33" s="44" t="s">
        <v>609</v>
      </c>
      <c r="P33" s="45"/>
      <c r="Q33" s="29"/>
    </row>
    <row r="34" customFormat="false" ht="15" hidden="false" customHeight="false" outlineLevel="0" collapsed="false">
      <c r="A34" s="17" t="n">
        <v>33</v>
      </c>
      <c r="B34" s="46" t="n">
        <v>45440</v>
      </c>
      <c r="C34" s="29"/>
      <c r="D34" s="4" t="s">
        <v>65</v>
      </c>
      <c r="E34" s="19" t="s">
        <v>618</v>
      </c>
      <c r="F34" s="17" t="n">
        <v>1</v>
      </c>
      <c r="G34" s="17" t="s">
        <v>619</v>
      </c>
      <c r="H34" s="47" t="n">
        <v>0</v>
      </c>
      <c r="I34" s="47" t="n">
        <f aca="false">F34*H34</f>
        <v>0</v>
      </c>
      <c r="J34" s="47" t="n">
        <f aca="false">0.18*I34</f>
        <v>0</v>
      </c>
      <c r="K34" s="47" t="n">
        <v>0</v>
      </c>
      <c r="L34" s="14" t="n">
        <f aca="false">SUM(I34:K34)</f>
        <v>0</v>
      </c>
      <c r="M34" s="29"/>
      <c r="N34" s="17" t="s">
        <v>610</v>
      </c>
      <c r="O34" s="44" t="s">
        <v>609</v>
      </c>
      <c r="P34" s="45"/>
      <c r="Q34" s="29"/>
    </row>
    <row r="35" customFormat="false" ht="15" hidden="false" customHeight="false" outlineLevel="0" collapsed="false">
      <c r="A35" s="17" t="n">
        <v>34</v>
      </c>
      <c r="B35" s="46" t="n">
        <v>45440</v>
      </c>
      <c r="C35" s="46"/>
      <c r="D35" s="4" t="s">
        <v>470</v>
      </c>
      <c r="E35" s="19" t="str">
        <f aca="false">VLOOKUP(D35,'Component Master'!B16:D208,3,0)</f>
        <v>Tattu 22000mAh 6S Lipo Battery</v>
      </c>
      <c r="F35" s="17" t="n">
        <v>4</v>
      </c>
      <c r="G35" s="17" t="s">
        <v>455</v>
      </c>
      <c r="H35" s="47" t="n">
        <v>18000</v>
      </c>
      <c r="I35" s="47" t="n">
        <f aca="false">F35*H35</f>
        <v>72000</v>
      </c>
      <c r="J35" s="47" t="n">
        <f aca="false">0.18*I35</f>
        <v>12960</v>
      </c>
      <c r="K35" s="47" t="n">
        <v>0</v>
      </c>
      <c r="L35" s="14" t="n">
        <f aca="false">SUM(I35:K35)</f>
        <v>84960</v>
      </c>
      <c r="M35" s="17" t="s">
        <v>65</v>
      </c>
      <c r="N35" s="17" t="s">
        <v>610</v>
      </c>
      <c r="O35" s="44" t="s">
        <v>609</v>
      </c>
      <c r="P35" s="45"/>
      <c r="Q35" s="29"/>
    </row>
    <row r="36" customFormat="false" ht="15" hidden="false" customHeight="false" outlineLevel="0" collapsed="false">
      <c r="A36" s="17" t="n">
        <v>35</v>
      </c>
      <c r="B36" s="46" t="n">
        <v>45440</v>
      </c>
      <c r="C36" s="46"/>
      <c r="D36" s="4" t="s">
        <v>65</v>
      </c>
      <c r="E36" s="19" t="s">
        <v>627</v>
      </c>
      <c r="F36" s="17" t="s">
        <v>65</v>
      </c>
      <c r="G36" s="17" t="s">
        <v>65</v>
      </c>
      <c r="H36" s="47" t="n">
        <v>0</v>
      </c>
      <c r="I36" s="47" t="n">
        <v>0</v>
      </c>
      <c r="J36" s="47" t="n">
        <f aca="false">0.18*I36</f>
        <v>0</v>
      </c>
      <c r="K36" s="47" t="n">
        <v>0</v>
      </c>
      <c r="L36" s="14" t="n">
        <f aca="false">SUM(I36:K36)</f>
        <v>0</v>
      </c>
      <c r="M36" s="17" t="s">
        <v>65</v>
      </c>
      <c r="N36" s="17" t="s">
        <v>610</v>
      </c>
      <c r="O36" s="49" t="s">
        <v>628</v>
      </c>
      <c r="P36" s="45"/>
      <c r="Q36" s="29" t="s">
        <v>629</v>
      </c>
    </row>
    <row r="37" customFormat="false" ht="15" hidden="false" customHeight="false" outlineLevel="0" collapsed="false">
      <c r="A37" s="17" t="n">
        <v>36</v>
      </c>
      <c r="B37" s="46" t="n">
        <v>45444</v>
      </c>
      <c r="C37" s="46"/>
      <c r="D37" s="4" t="s">
        <v>95</v>
      </c>
      <c r="E37" s="19" t="str">
        <f aca="false">VLOOKUP(D37,'Component Master'!B17:D209,3,0)</f>
        <v>Alind water jet cutting</v>
      </c>
      <c r="F37" s="17" t="n">
        <v>2</v>
      </c>
      <c r="G37" s="17" t="s">
        <v>98</v>
      </c>
      <c r="H37" s="47" t="n">
        <v>542</v>
      </c>
      <c r="I37" s="47" t="n">
        <f aca="false">F37*H37</f>
        <v>1084</v>
      </c>
      <c r="J37" s="47" t="n">
        <f aca="false">0.12*I37</f>
        <v>130.08</v>
      </c>
      <c r="K37" s="47" t="n">
        <v>0</v>
      </c>
      <c r="L37" s="14" t="n">
        <f aca="false">SUM(I37:K37)</f>
        <v>1214.08</v>
      </c>
      <c r="M37" s="17"/>
      <c r="N37" s="17" t="s">
        <v>610</v>
      </c>
      <c r="O37" s="44" t="s">
        <v>609</v>
      </c>
      <c r="P37" s="45"/>
      <c r="Q37" s="29"/>
    </row>
    <row r="38" customFormat="false" ht="15" hidden="false" customHeight="false" outlineLevel="0" collapsed="false">
      <c r="A38" s="17" t="n">
        <v>37</v>
      </c>
      <c r="B38" s="46" t="n">
        <v>45447</v>
      </c>
      <c r="C38" s="29"/>
      <c r="D38" s="4" t="s">
        <v>312</v>
      </c>
      <c r="E38" s="19" t="str">
        <f aca="false">VLOOKUP(D38,'Component Master'!B18:D210,3,0)</f>
        <v>10L Tank</v>
      </c>
      <c r="F38" s="17" t="n">
        <v>1</v>
      </c>
      <c r="G38" s="17" t="s">
        <v>455</v>
      </c>
      <c r="H38" s="47" t="n">
        <v>6860</v>
      </c>
      <c r="I38" s="47" t="n">
        <f aca="false">F38*H38</f>
        <v>6860</v>
      </c>
      <c r="J38" s="47" t="n">
        <f aca="false">0.05*I38</f>
        <v>343</v>
      </c>
      <c r="K38" s="47" t="n">
        <v>0</v>
      </c>
      <c r="L38" s="14" t="n">
        <f aca="false">SUM(I38:K38)</f>
        <v>7203</v>
      </c>
      <c r="M38" s="29"/>
      <c r="N38" s="17" t="s">
        <v>610</v>
      </c>
      <c r="O38" s="44" t="s">
        <v>609</v>
      </c>
      <c r="P38" s="45"/>
      <c r="Q38" s="29"/>
    </row>
    <row r="39" customFormat="false" ht="15" hidden="false" customHeight="false" outlineLevel="0" collapsed="false">
      <c r="A39" s="17" t="n">
        <v>38</v>
      </c>
      <c r="B39" s="46" t="n">
        <v>45447</v>
      </c>
      <c r="C39" s="29"/>
      <c r="D39" s="4" t="s">
        <v>468</v>
      </c>
      <c r="E39" s="19" t="str">
        <f aca="false">VLOOKUP(D39,'Component Master'!B19:D211,3,0)</f>
        <v>QS8-S Anti spark Male/Female connector pair</v>
      </c>
      <c r="F39" s="17" t="n">
        <v>6</v>
      </c>
      <c r="G39" s="17" t="s">
        <v>70</v>
      </c>
      <c r="H39" s="47" t="n">
        <v>558.06</v>
      </c>
      <c r="I39" s="14" t="n">
        <f aca="false">F39*H39</f>
        <v>3348.36</v>
      </c>
      <c r="J39" s="47" t="n">
        <f aca="false">0.18*I39</f>
        <v>602.7048</v>
      </c>
      <c r="K39" s="14" t="n">
        <v>49</v>
      </c>
      <c r="L39" s="14" t="n">
        <f aca="false">SUM(I39:K39)</f>
        <v>4000.0648</v>
      </c>
      <c r="M39" s="29"/>
      <c r="N39" s="17" t="s">
        <v>610</v>
      </c>
      <c r="O39" s="44" t="s">
        <v>609</v>
      </c>
      <c r="P39" s="45"/>
      <c r="Q39" s="29"/>
    </row>
    <row r="40" customFormat="false" ht="15" hidden="false" customHeight="false" outlineLevel="0" collapsed="false">
      <c r="A40" s="17" t="n">
        <v>39</v>
      </c>
      <c r="B40" s="46" t="n">
        <v>45448</v>
      </c>
      <c r="C40" s="29"/>
      <c r="D40" s="4" t="s">
        <v>472</v>
      </c>
      <c r="E40" s="19" t="s">
        <v>474</v>
      </c>
      <c r="F40" s="17" t="n">
        <v>1</v>
      </c>
      <c r="G40" s="17" t="s">
        <v>70</v>
      </c>
      <c r="H40" s="47" t="n">
        <v>1100.85</v>
      </c>
      <c r="I40" s="47" t="n">
        <f aca="false">F40*H40</f>
        <v>1100.85</v>
      </c>
      <c r="J40" s="47" t="n">
        <f aca="false">0.18*I40</f>
        <v>198.153</v>
      </c>
      <c r="K40" s="14" t="n">
        <v>0</v>
      </c>
      <c r="L40" s="14" t="n">
        <f aca="false">SUM(I40:K40)</f>
        <v>1299.003</v>
      </c>
      <c r="M40" s="29"/>
      <c r="N40" s="17" t="s">
        <v>630</v>
      </c>
      <c r="O40" s="44" t="s">
        <v>609</v>
      </c>
      <c r="P40" s="45"/>
      <c r="Q40" s="29" t="s">
        <v>614</v>
      </c>
    </row>
    <row r="41" customFormat="false" ht="15" hidden="false" customHeight="false" outlineLevel="0" collapsed="false">
      <c r="A41" s="17" t="n">
        <v>40</v>
      </c>
      <c r="B41" s="46" t="n">
        <v>45448</v>
      </c>
      <c r="C41" s="29"/>
      <c r="D41" s="4" t="s">
        <v>475</v>
      </c>
      <c r="E41" s="19" t="s">
        <v>476</v>
      </c>
      <c r="F41" s="17" t="n">
        <v>1</v>
      </c>
      <c r="G41" s="17" t="s">
        <v>70</v>
      </c>
      <c r="H41" s="47" t="n">
        <v>1329.66</v>
      </c>
      <c r="I41" s="47" t="n">
        <f aca="false">F41*H41</f>
        <v>1329.66</v>
      </c>
      <c r="J41" s="47" t="n">
        <f aca="false">0.18*I41</f>
        <v>239.3388</v>
      </c>
      <c r="K41" s="14" t="n">
        <v>0</v>
      </c>
      <c r="L41" s="14" t="n">
        <f aca="false">SUM(I41:K41)</f>
        <v>1568.9988</v>
      </c>
      <c r="M41" s="29"/>
      <c r="N41" s="17" t="s">
        <v>630</v>
      </c>
      <c r="O41" s="44" t="s">
        <v>609</v>
      </c>
      <c r="P41" s="45"/>
      <c r="Q41" s="29" t="s">
        <v>614</v>
      </c>
    </row>
    <row r="42" customFormat="false" ht="15" hidden="false" customHeight="false" outlineLevel="0" collapsed="false">
      <c r="A42" s="17" t="n">
        <v>41</v>
      </c>
      <c r="B42" s="46" t="n">
        <v>45448</v>
      </c>
      <c r="C42" s="29"/>
      <c r="D42" s="4" t="s">
        <v>472</v>
      </c>
      <c r="E42" s="19" t="s">
        <v>474</v>
      </c>
      <c r="F42" s="17" t="n">
        <v>1</v>
      </c>
      <c r="G42" s="17" t="s">
        <v>631</v>
      </c>
      <c r="H42" s="47" t="n">
        <v>1298</v>
      </c>
      <c r="I42" s="47" t="n">
        <f aca="false">F42*H42</f>
        <v>1298</v>
      </c>
      <c r="J42" s="47" t="n">
        <f aca="false">0.18*I42</f>
        <v>233.64</v>
      </c>
      <c r="K42" s="14" t="n">
        <v>75</v>
      </c>
      <c r="L42" s="14" t="n">
        <f aca="false">SUM(I42:K42)</f>
        <v>1606.64</v>
      </c>
      <c r="M42" s="29"/>
      <c r="N42" s="17" t="s">
        <v>630</v>
      </c>
      <c r="O42" s="45" t="s">
        <v>632</v>
      </c>
      <c r="P42" s="45"/>
      <c r="Q42" s="29" t="s">
        <v>633</v>
      </c>
    </row>
    <row r="43" customFormat="false" ht="15" hidden="false" customHeight="false" outlineLevel="0" collapsed="false">
      <c r="A43" s="17" t="n">
        <v>42</v>
      </c>
      <c r="B43" s="46" t="n">
        <v>45448</v>
      </c>
      <c r="C43" s="29"/>
      <c r="D43" s="4" t="s">
        <v>480</v>
      </c>
      <c r="E43" s="19" t="s">
        <v>481</v>
      </c>
      <c r="F43" s="17" t="n">
        <v>200</v>
      </c>
      <c r="G43" s="17" t="s">
        <v>634</v>
      </c>
      <c r="H43" s="47" t="n">
        <v>4.16</v>
      </c>
      <c r="I43" s="47" t="n">
        <f aca="false">F43*H43</f>
        <v>832</v>
      </c>
      <c r="J43" s="47" t="n">
        <f aca="false">0.18*I43</f>
        <v>149.76</v>
      </c>
      <c r="K43" s="14" t="n">
        <v>0</v>
      </c>
      <c r="L43" s="14" t="n">
        <f aca="false">SUM(I43:K43)</f>
        <v>981.76</v>
      </c>
      <c r="M43" s="29"/>
      <c r="N43" s="17" t="s">
        <v>635</v>
      </c>
      <c r="O43" s="44" t="s">
        <v>609</v>
      </c>
      <c r="P43" s="45"/>
      <c r="Q43" s="29"/>
    </row>
    <row r="44" customFormat="false" ht="15" hidden="false" customHeight="false" outlineLevel="0" collapsed="false">
      <c r="A44" s="17" t="n">
        <v>43</v>
      </c>
      <c r="B44" s="46" t="n">
        <v>45448</v>
      </c>
      <c r="C44" s="29"/>
      <c r="D44" s="4" t="s">
        <v>483</v>
      </c>
      <c r="E44" s="19" t="s">
        <v>636</v>
      </c>
      <c r="F44" s="17" t="n">
        <v>1</v>
      </c>
      <c r="G44" s="17" t="s">
        <v>637</v>
      </c>
      <c r="H44" s="47" t="n">
        <v>15880</v>
      </c>
      <c r="I44" s="47" t="n">
        <f aca="false">F44*H44</f>
        <v>15880</v>
      </c>
      <c r="J44" s="47" t="n">
        <f aca="false">0.18*I44</f>
        <v>2858.4</v>
      </c>
      <c r="K44" s="14" t="n">
        <v>0</v>
      </c>
      <c r="L44" s="14" t="n">
        <f aca="false">SUM(I44:K44)</f>
        <v>18738.4</v>
      </c>
      <c r="M44" s="29"/>
      <c r="N44" s="17" t="s">
        <v>638</v>
      </c>
      <c r="O44" s="44" t="s">
        <v>609</v>
      </c>
      <c r="P44" s="45"/>
      <c r="Q44" s="29"/>
    </row>
    <row r="45" customFormat="false" ht="15" hidden="false" customHeight="false" outlineLevel="0" collapsed="false">
      <c r="A45" s="17" t="n">
        <v>44</v>
      </c>
      <c r="B45" s="46" t="n">
        <v>45448</v>
      </c>
      <c r="C45" s="29"/>
      <c r="D45" s="4" t="s">
        <v>477</v>
      </c>
      <c r="E45" s="19" t="s">
        <v>478</v>
      </c>
      <c r="F45" s="17" t="n">
        <v>2</v>
      </c>
      <c r="G45" s="17" t="s">
        <v>479</v>
      </c>
      <c r="H45" s="47" t="n">
        <v>336.44</v>
      </c>
      <c r="I45" s="47" t="n">
        <f aca="false">F45*H45</f>
        <v>672.88</v>
      </c>
      <c r="J45" s="47" t="n">
        <f aca="false">0.18*I45</f>
        <v>121.1184</v>
      </c>
      <c r="K45" s="14" t="n">
        <v>0</v>
      </c>
      <c r="L45" s="14" t="n">
        <f aca="false">SUM(I45:K45)</f>
        <v>793.9984</v>
      </c>
      <c r="M45" s="29"/>
      <c r="N45" s="17" t="s">
        <v>610</v>
      </c>
      <c r="O45" s="44" t="s">
        <v>609</v>
      </c>
      <c r="P45" s="45"/>
      <c r="Q45" s="29"/>
    </row>
    <row r="46" customFormat="false" ht="15" hidden="false" customHeight="false" outlineLevel="0" collapsed="false">
      <c r="A46" s="17" t="n">
        <v>45</v>
      </c>
      <c r="B46" s="46" t="n">
        <v>45453</v>
      </c>
      <c r="C46" s="29"/>
      <c r="D46" s="4" t="s">
        <v>300</v>
      </c>
      <c r="E46" s="19" t="s">
        <v>639</v>
      </c>
      <c r="F46" s="17" t="n">
        <v>5</v>
      </c>
      <c r="G46" s="17" t="s">
        <v>455</v>
      </c>
      <c r="H46" s="47" t="n">
        <v>840</v>
      </c>
      <c r="I46" s="47" t="n">
        <f aca="false">F46*H46</f>
        <v>4200</v>
      </c>
      <c r="J46" s="47" t="n">
        <f aca="false">0.05*I46</f>
        <v>210</v>
      </c>
      <c r="K46" s="47" t="n">
        <v>0</v>
      </c>
      <c r="L46" s="47" t="n">
        <f aca="false">SUM(I46:K46)</f>
        <v>4410</v>
      </c>
      <c r="M46" s="29"/>
      <c r="N46" s="17" t="s">
        <v>610</v>
      </c>
      <c r="O46" s="44" t="s">
        <v>609</v>
      </c>
      <c r="P46" s="45"/>
      <c r="Q46" s="29"/>
    </row>
    <row r="47" customFormat="false" ht="15" hidden="false" customHeight="false" outlineLevel="0" collapsed="false">
      <c r="A47" s="17" t="n">
        <v>46</v>
      </c>
      <c r="B47" s="46" t="n">
        <v>45453</v>
      </c>
      <c r="C47" s="29"/>
      <c r="D47" s="4" t="s">
        <v>300</v>
      </c>
      <c r="E47" s="19" t="s">
        <v>640</v>
      </c>
      <c r="F47" s="17" t="n">
        <v>5</v>
      </c>
      <c r="G47" s="17" t="s">
        <v>455</v>
      </c>
      <c r="H47" s="47" t="n">
        <v>40</v>
      </c>
      <c r="I47" s="47" t="n">
        <f aca="false">F47*H47</f>
        <v>200</v>
      </c>
      <c r="J47" s="47" t="n">
        <f aca="false">0.18*I47</f>
        <v>36</v>
      </c>
      <c r="K47" s="47" t="n">
        <v>0</v>
      </c>
      <c r="L47" s="47" t="n">
        <f aca="false">SUM(I47:K47)</f>
        <v>236</v>
      </c>
      <c r="M47" s="29"/>
      <c r="N47" s="17" t="s">
        <v>610</v>
      </c>
      <c r="O47" s="44" t="s">
        <v>609</v>
      </c>
      <c r="P47" s="45"/>
      <c r="Q47" s="29"/>
    </row>
    <row r="48" customFormat="false" ht="15" hidden="false" customHeight="false" outlineLevel="0" collapsed="false">
      <c r="A48" s="17" t="n">
        <v>47</v>
      </c>
      <c r="B48" s="46" t="n">
        <v>45453</v>
      </c>
      <c r="C48" s="29"/>
      <c r="D48" s="4" t="s">
        <v>300</v>
      </c>
      <c r="E48" s="19" t="s">
        <v>641</v>
      </c>
      <c r="F48" s="17" t="n">
        <v>3</v>
      </c>
      <c r="G48" s="17" t="s">
        <v>455</v>
      </c>
      <c r="H48" s="47" t="n">
        <v>54</v>
      </c>
      <c r="I48" s="47" t="n">
        <f aca="false">F48*H48</f>
        <v>162</v>
      </c>
      <c r="J48" s="47" t="n">
        <f aca="false">0.18*I48</f>
        <v>29.16</v>
      </c>
      <c r="K48" s="47" t="n">
        <v>0</v>
      </c>
      <c r="L48" s="47" t="n">
        <f aca="false">SUM(I48:K48)</f>
        <v>191.16</v>
      </c>
      <c r="M48" s="29"/>
      <c r="N48" s="17" t="s">
        <v>610</v>
      </c>
      <c r="O48" s="44" t="s">
        <v>609</v>
      </c>
      <c r="P48" s="45"/>
      <c r="Q48" s="29"/>
    </row>
    <row r="49" customFormat="false" ht="15" hidden="false" customHeight="false" outlineLevel="0" collapsed="false">
      <c r="A49" s="17" t="n">
        <v>48</v>
      </c>
      <c r="B49" s="46" t="n">
        <v>45453</v>
      </c>
      <c r="C49" s="29"/>
      <c r="D49" s="4" t="s">
        <v>300</v>
      </c>
      <c r="E49" s="19" t="s">
        <v>642</v>
      </c>
      <c r="F49" s="17" t="n">
        <v>2</v>
      </c>
      <c r="G49" s="17" t="s">
        <v>455</v>
      </c>
      <c r="H49" s="47" t="n">
        <v>81</v>
      </c>
      <c r="I49" s="47" t="n">
        <f aca="false">F49*H49</f>
        <v>162</v>
      </c>
      <c r="J49" s="47" t="n">
        <f aca="false">0.18*I49</f>
        <v>29.16</v>
      </c>
      <c r="K49" s="47" t="n">
        <v>0</v>
      </c>
      <c r="L49" s="47" t="n">
        <f aca="false">SUM(I49:K49)</f>
        <v>191.16</v>
      </c>
      <c r="M49" s="29"/>
      <c r="N49" s="17" t="s">
        <v>610</v>
      </c>
      <c r="O49" s="44" t="s">
        <v>609</v>
      </c>
      <c r="P49" s="45"/>
      <c r="Q49" s="29"/>
    </row>
    <row r="50" customFormat="false" ht="15" hidden="false" customHeight="false" outlineLevel="0" collapsed="false">
      <c r="A50" s="17" t="n">
        <v>49</v>
      </c>
      <c r="B50" s="46" t="n">
        <v>45453</v>
      </c>
      <c r="C50" s="29"/>
      <c r="D50" s="4" t="s">
        <v>300</v>
      </c>
      <c r="E50" s="19" t="s">
        <v>643</v>
      </c>
      <c r="F50" s="17" t="n">
        <v>1</v>
      </c>
      <c r="G50" s="17" t="s">
        <v>455</v>
      </c>
      <c r="H50" s="47" t="n">
        <v>90</v>
      </c>
      <c r="I50" s="47" t="n">
        <f aca="false">F50*H50</f>
        <v>90</v>
      </c>
      <c r="J50" s="47" t="n">
        <f aca="false">0.18*I50</f>
        <v>16.2</v>
      </c>
      <c r="K50" s="47" t="n">
        <v>0</v>
      </c>
      <c r="L50" s="47" t="n">
        <f aca="false">SUM(I50:K50)</f>
        <v>106.2</v>
      </c>
      <c r="M50" s="29"/>
      <c r="N50" s="17" t="s">
        <v>610</v>
      </c>
      <c r="O50" s="44" t="s">
        <v>609</v>
      </c>
      <c r="P50" s="45"/>
      <c r="Q50" s="29"/>
    </row>
    <row r="51" customFormat="false" ht="15" hidden="false" customHeight="false" outlineLevel="0" collapsed="false">
      <c r="A51" s="17" t="n">
        <v>50</v>
      </c>
      <c r="B51" s="46" t="n">
        <v>45453</v>
      </c>
      <c r="C51" s="29"/>
      <c r="D51" s="4" t="s">
        <v>468</v>
      </c>
      <c r="E51" s="19" t="str">
        <f aca="false">VLOOKUP(D51,'Component Master'!B31:D223,3,0)</f>
        <v>QS8-S Anti spark Male/Female connector pair</v>
      </c>
      <c r="F51" s="17" t="n">
        <v>10</v>
      </c>
      <c r="G51" s="17" t="s">
        <v>70</v>
      </c>
      <c r="H51" s="47" t="n">
        <v>669</v>
      </c>
      <c r="I51" s="47" t="n">
        <f aca="false">F51*H51</f>
        <v>6690</v>
      </c>
      <c r="J51" s="47" t="n">
        <v>0</v>
      </c>
      <c r="K51" s="47" t="n">
        <f aca="false">99+25</f>
        <v>124</v>
      </c>
      <c r="L51" s="47" t="n">
        <f aca="false">SUM(I51:K51)</f>
        <v>6814</v>
      </c>
      <c r="M51" s="29"/>
      <c r="N51" s="17" t="s">
        <v>610</v>
      </c>
      <c r="O51" s="44" t="s">
        <v>609</v>
      </c>
      <c r="P51" s="45"/>
      <c r="Q51" s="29"/>
    </row>
    <row r="52" customFormat="false" ht="15" hidden="false" customHeight="false" outlineLevel="0" collapsed="false">
      <c r="A52" s="17" t="n">
        <v>51</v>
      </c>
      <c r="B52" s="46" t="n">
        <v>45454</v>
      </c>
      <c r="C52" s="29"/>
      <c r="D52" s="4" t="s">
        <v>470</v>
      </c>
      <c r="E52" s="19" t="str">
        <f aca="false">VLOOKUP(D52,'Component Master'!B32:D224,3,0)</f>
        <v>Tattu 22000mAh 6S Lipo Battery</v>
      </c>
      <c r="F52" s="17" t="n">
        <v>4</v>
      </c>
      <c r="G52" s="17" t="s">
        <v>455</v>
      </c>
      <c r="H52" s="47" t="n">
        <v>18000</v>
      </c>
      <c r="I52" s="47" t="n">
        <f aca="false">F52*H52</f>
        <v>72000</v>
      </c>
      <c r="J52" s="47" t="n">
        <f aca="false">0.18*I52</f>
        <v>12960</v>
      </c>
      <c r="K52" s="47" t="n">
        <v>0</v>
      </c>
      <c r="L52" s="47" t="n">
        <f aca="false">SUM(I52:K52)</f>
        <v>84960</v>
      </c>
      <c r="M52" s="29"/>
      <c r="N52" s="17" t="s">
        <v>610</v>
      </c>
      <c r="O52" s="44" t="s">
        <v>609</v>
      </c>
      <c r="P52" s="45"/>
      <c r="Q52" s="29"/>
    </row>
    <row r="53" customFormat="false" ht="15" hidden="false" customHeight="false" outlineLevel="0" collapsed="false">
      <c r="A53" s="17" t="n">
        <v>52</v>
      </c>
      <c r="B53" s="46" t="n">
        <v>45458</v>
      </c>
      <c r="C53" s="29"/>
      <c r="D53" s="4" t="s">
        <v>486</v>
      </c>
      <c r="E53" s="19" t="s">
        <v>487</v>
      </c>
      <c r="F53" s="17" t="n">
        <v>1</v>
      </c>
      <c r="G53" s="17" t="s">
        <v>455</v>
      </c>
      <c r="H53" s="47" t="n">
        <v>1680</v>
      </c>
      <c r="I53" s="47" t="n">
        <f aca="false">F53*H53</f>
        <v>1680</v>
      </c>
      <c r="J53" s="47" t="n">
        <f aca="false">0.05*I53</f>
        <v>84</v>
      </c>
      <c r="K53" s="47" t="n">
        <v>0</v>
      </c>
      <c r="L53" s="47" t="n">
        <f aca="false">SUM(I53:K53)</f>
        <v>1764</v>
      </c>
      <c r="M53" s="29"/>
      <c r="N53" s="17" t="s">
        <v>610</v>
      </c>
      <c r="O53" s="44" t="s">
        <v>609</v>
      </c>
      <c r="P53" s="45"/>
      <c r="Q53" s="29"/>
    </row>
    <row r="54" customFormat="false" ht="15" hidden="false" customHeight="false" outlineLevel="0" collapsed="false">
      <c r="A54" s="17" t="n">
        <v>53</v>
      </c>
      <c r="B54" s="46" t="n">
        <v>45458</v>
      </c>
      <c r="C54" s="29"/>
      <c r="D54" s="4" t="s">
        <v>31</v>
      </c>
      <c r="E54" s="19" t="str">
        <f aca="false">VLOOKUP(D54,'Component Master'!B2:D226,3,0)</f>
        <v>Agri Carry case with Foam</v>
      </c>
      <c r="F54" s="17" t="n">
        <v>2</v>
      </c>
      <c r="G54" s="17" t="s">
        <v>23</v>
      </c>
      <c r="H54" s="47" t="n">
        <v>17500</v>
      </c>
      <c r="I54" s="47" t="n">
        <f aca="false">F54*H54</f>
        <v>35000</v>
      </c>
      <c r="J54" s="47" t="n">
        <f aca="false">0.18*I54</f>
        <v>6300</v>
      </c>
      <c r="K54" s="47" t="n">
        <v>0</v>
      </c>
      <c r="L54" s="47" t="n">
        <f aca="false">SUM(I54:K54)</f>
        <v>41300</v>
      </c>
      <c r="M54" s="29"/>
      <c r="N54" s="17" t="s">
        <v>610</v>
      </c>
      <c r="O54" s="44" t="s">
        <v>609</v>
      </c>
      <c r="P54" s="45"/>
      <c r="Q54" s="29"/>
    </row>
    <row r="55" customFormat="false" ht="15" hidden="false" customHeight="false" outlineLevel="0" collapsed="false">
      <c r="A55" s="17" t="n">
        <v>54</v>
      </c>
      <c r="B55" s="46" t="n">
        <v>45460</v>
      </c>
      <c r="C55" s="29"/>
      <c r="D55" s="4" t="s">
        <v>488</v>
      </c>
      <c r="E55" s="19" t="s">
        <v>489</v>
      </c>
      <c r="F55" s="17" t="n">
        <v>1</v>
      </c>
      <c r="G55" s="17" t="s">
        <v>490</v>
      </c>
      <c r="H55" s="47" t="n">
        <v>600</v>
      </c>
      <c r="I55" s="47" t="n">
        <f aca="false">F55*H55</f>
        <v>600</v>
      </c>
      <c r="J55" s="47" t="n">
        <f aca="false">0.18*I55</f>
        <v>108</v>
      </c>
      <c r="K55" s="47" t="n">
        <v>0</v>
      </c>
      <c r="L55" s="47" t="n">
        <f aca="false">SUM(I55:K55)</f>
        <v>708</v>
      </c>
      <c r="M55" s="29"/>
      <c r="N55" s="17" t="s">
        <v>610</v>
      </c>
      <c r="O55" s="44" t="s">
        <v>609</v>
      </c>
      <c r="P55" s="45"/>
      <c r="Q55" s="29"/>
    </row>
    <row r="56" customFormat="false" ht="15" hidden="false" customHeight="false" outlineLevel="0" collapsed="false">
      <c r="A56" s="17" t="n">
        <v>55</v>
      </c>
      <c r="B56" s="46" t="n">
        <v>45460</v>
      </c>
      <c r="C56" s="29"/>
      <c r="D56" s="4" t="s">
        <v>491</v>
      </c>
      <c r="E56" s="19" t="s">
        <v>644</v>
      </c>
      <c r="F56" s="17" t="n">
        <v>2</v>
      </c>
      <c r="G56" s="17" t="s">
        <v>479</v>
      </c>
      <c r="H56" s="47" t="n">
        <v>249.15</v>
      </c>
      <c r="I56" s="47" t="n">
        <f aca="false">F56*H56</f>
        <v>498.3</v>
      </c>
      <c r="J56" s="47" t="n">
        <f aca="false">0.18*I56</f>
        <v>89.694</v>
      </c>
      <c r="K56" s="47" t="n">
        <v>0</v>
      </c>
      <c r="L56" s="47" t="n">
        <f aca="false">SUM(I56:K56)</f>
        <v>587.994</v>
      </c>
      <c r="M56" s="29"/>
      <c r="N56" s="17" t="s">
        <v>610</v>
      </c>
      <c r="O56" s="44" t="s">
        <v>609</v>
      </c>
      <c r="P56" s="45"/>
      <c r="Q56" s="29" t="s">
        <v>614</v>
      </c>
    </row>
    <row r="57" customFormat="false" ht="15" hidden="false" customHeight="false" outlineLevel="0" collapsed="false">
      <c r="A57" s="17" t="n">
        <v>56</v>
      </c>
      <c r="B57" s="46" t="n">
        <v>45460</v>
      </c>
      <c r="C57" s="29"/>
      <c r="D57" s="4" t="s">
        <v>494</v>
      </c>
      <c r="E57" s="19" t="s">
        <v>645</v>
      </c>
      <c r="F57" s="17" t="n">
        <v>6</v>
      </c>
      <c r="G57" s="17" t="s">
        <v>70</v>
      </c>
      <c r="H57" s="47" t="n">
        <v>66.95</v>
      </c>
      <c r="I57" s="47" t="n">
        <f aca="false">F57*H57</f>
        <v>401.7</v>
      </c>
      <c r="J57" s="47" t="n">
        <f aca="false">0.18*I57</f>
        <v>72.306</v>
      </c>
      <c r="K57" s="47" t="n">
        <v>0</v>
      </c>
      <c r="L57" s="47" t="n">
        <f aca="false">SUM(I57:K57)</f>
        <v>474.006</v>
      </c>
      <c r="M57" s="29"/>
      <c r="N57" s="17" t="s">
        <v>610</v>
      </c>
      <c r="O57" s="44" t="s">
        <v>609</v>
      </c>
      <c r="P57" s="45"/>
      <c r="Q57" s="29"/>
    </row>
    <row r="58" customFormat="false" ht="15" hidden="false" customHeight="false" outlineLevel="0" collapsed="false">
      <c r="A58" s="17" t="n">
        <v>57</v>
      </c>
      <c r="B58" s="46" t="n">
        <v>45460</v>
      </c>
      <c r="C58" s="29"/>
      <c r="D58" s="4" t="s">
        <v>496</v>
      </c>
      <c r="E58" s="19" t="s">
        <v>497</v>
      </c>
      <c r="F58" s="17" t="n">
        <v>6</v>
      </c>
      <c r="G58" s="17" t="s">
        <v>70</v>
      </c>
      <c r="H58" s="47" t="n">
        <v>83.9</v>
      </c>
      <c r="I58" s="47" t="n">
        <f aca="false">F58*H58</f>
        <v>503.4</v>
      </c>
      <c r="J58" s="47" t="n">
        <f aca="false">0.18*I58</f>
        <v>90.612</v>
      </c>
      <c r="K58" s="47" t="n">
        <v>0</v>
      </c>
      <c r="L58" s="47" t="n">
        <f aca="false">SUM(I58:K58)</f>
        <v>594.012</v>
      </c>
      <c r="M58" s="29"/>
      <c r="N58" s="17" t="s">
        <v>610</v>
      </c>
      <c r="O58" s="44" t="s">
        <v>609</v>
      </c>
      <c r="P58" s="45"/>
      <c r="Q58" s="29"/>
    </row>
    <row r="59" customFormat="false" ht="15" hidden="false" customHeight="false" outlineLevel="0" collapsed="false">
      <c r="A59" s="17" t="n">
        <v>58</v>
      </c>
      <c r="B59" s="46" t="n">
        <v>45462</v>
      </c>
      <c r="C59" s="29"/>
      <c r="D59" s="4" t="s">
        <v>439</v>
      </c>
      <c r="E59" s="19" t="str">
        <f aca="false">VLOOKUP(D59,'Component Master'!B7:D231,3,0)</f>
        <v>CF Sheet 500*500mm*3mm</v>
      </c>
      <c r="F59" s="17" t="n">
        <v>2</v>
      </c>
      <c r="G59" s="17" t="s">
        <v>57</v>
      </c>
      <c r="H59" s="47" t="n">
        <v>12711.856</v>
      </c>
      <c r="I59" s="47" t="n">
        <f aca="false">F59*H59</f>
        <v>25423.712</v>
      </c>
      <c r="J59" s="47" t="n">
        <f aca="false">0.18*I59</f>
        <v>4576.26816</v>
      </c>
      <c r="K59" s="47" t="n">
        <v>0</v>
      </c>
      <c r="L59" s="47" t="n">
        <f aca="false">SUM(I59:K59)</f>
        <v>29999.98016</v>
      </c>
      <c r="M59" s="29"/>
      <c r="N59" s="17" t="s">
        <v>635</v>
      </c>
      <c r="O59" s="50" t="s">
        <v>646</v>
      </c>
      <c r="P59" s="45"/>
      <c r="Q59" s="29"/>
    </row>
    <row r="60" customFormat="false" ht="15" hidden="false" customHeight="false" outlineLevel="0" collapsed="false">
      <c r="A60" s="17" t="n">
        <v>59</v>
      </c>
      <c r="B60" s="46" t="n">
        <v>45462</v>
      </c>
      <c r="C60" s="29"/>
      <c r="D60" s="4" t="s">
        <v>44</v>
      </c>
      <c r="E60" s="19" t="str">
        <f aca="false">VLOOKUP(D60,'Component Master'!B8:D232,3,0)</f>
        <v>300mm * 200mm * 2mm</v>
      </c>
      <c r="F60" s="17" t="n">
        <v>4</v>
      </c>
      <c r="G60" s="17" t="s">
        <v>57</v>
      </c>
      <c r="H60" s="47" t="n">
        <v>2711.856</v>
      </c>
      <c r="I60" s="47" t="n">
        <f aca="false">F60*H60</f>
        <v>10847.424</v>
      </c>
      <c r="J60" s="47" t="n">
        <f aca="false">0.18*I60</f>
        <v>1952.53632</v>
      </c>
      <c r="K60" s="47" t="n">
        <v>0</v>
      </c>
      <c r="L60" s="47" t="n">
        <f aca="false">SUM(I60:K60)</f>
        <v>12799.96032</v>
      </c>
      <c r="M60" s="29"/>
      <c r="N60" s="17" t="s">
        <v>635</v>
      </c>
      <c r="O60" s="50" t="s">
        <v>646</v>
      </c>
      <c r="P60" s="45"/>
      <c r="Q60" s="29"/>
    </row>
    <row r="61" customFormat="false" ht="15" hidden="false" customHeight="false" outlineLevel="0" collapsed="false">
      <c r="A61" s="17" t="n">
        <v>60</v>
      </c>
      <c r="B61" s="46" t="n">
        <v>45464</v>
      </c>
      <c r="C61" s="29"/>
      <c r="D61" s="4" t="s">
        <v>498</v>
      </c>
      <c r="E61" s="19" t="str">
        <f aca="false">VLOOKUP(D61,'Component Master'!B9:D233,3,0)</f>
        <v>Sensor mounting plate</v>
      </c>
      <c r="F61" s="17" t="n">
        <v>2</v>
      </c>
      <c r="G61" s="17" t="s">
        <v>500</v>
      </c>
      <c r="H61" s="47" t="n">
        <v>1500</v>
      </c>
      <c r="I61" s="47" t="n">
        <f aca="false">F61*H61</f>
        <v>3000</v>
      </c>
      <c r="J61" s="47" t="n">
        <f aca="false">0.18*I61</f>
        <v>540</v>
      </c>
      <c r="K61" s="47" t="n">
        <v>0</v>
      </c>
      <c r="L61" s="47" t="n">
        <f aca="false">SUM(I61:K61)</f>
        <v>3540</v>
      </c>
      <c r="M61" s="29"/>
      <c r="N61" s="17" t="s">
        <v>610</v>
      </c>
      <c r="O61" s="44" t="s">
        <v>609</v>
      </c>
      <c r="P61" s="45"/>
      <c r="Q61" s="29"/>
    </row>
    <row r="62" customFormat="false" ht="15" hidden="false" customHeight="false" outlineLevel="0" collapsed="false">
      <c r="A62" s="17" t="n">
        <v>61</v>
      </c>
      <c r="B62" s="46" t="n">
        <v>45464</v>
      </c>
      <c r="C62" s="29"/>
      <c r="D62" s="4" t="s">
        <v>268</v>
      </c>
      <c r="E62" s="19" t="str">
        <f aca="false">VLOOKUP(D62,'Component Master'!B10:D234,3,0)</f>
        <v>Obstacle Avoidance Sensor</v>
      </c>
      <c r="F62" s="17" t="n">
        <v>1</v>
      </c>
      <c r="G62" s="17" t="s">
        <v>70</v>
      </c>
      <c r="H62" s="47" t="n">
        <v>27576</v>
      </c>
      <c r="I62" s="47" t="n">
        <f aca="false">F62*H62</f>
        <v>27576</v>
      </c>
      <c r="J62" s="47" t="n">
        <f aca="false">0.18*I62</f>
        <v>4963.68</v>
      </c>
      <c r="K62" s="47" t="n">
        <v>0</v>
      </c>
      <c r="L62" s="47" t="n">
        <f aca="false">SUM(I62:K62)</f>
        <v>32539.68</v>
      </c>
      <c r="M62" s="29"/>
      <c r="N62" s="17" t="s">
        <v>610</v>
      </c>
      <c r="O62" s="44" t="s">
        <v>609</v>
      </c>
      <c r="P62" s="45"/>
      <c r="Q62" s="29" t="s">
        <v>647</v>
      </c>
    </row>
    <row r="63" customFormat="false" ht="15" hidden="false" customHeight="false" outlineLevel="0" collapsed="false">
      <c r="A63" s="17" t="n">
        <v>62</v>
      </c>
      <c r="B63" s="46" t="n">
        <v>45464</v>
      </c>
      <c r="C63" s="29"/>
      <c r="D63" s="4" t="s">
        <v>103</v>
      </c>
      <c r="E63" s="19" t="s">
        <v>648</v>
      </c>
      <c r="F63" s="17" t="n">
        <v>1</v>
      </c>
      <c r="G63" s="17" t="s">
        <v>500</v>
      </c>
      <c r="H63" s="47" t="n">
        <v>1500</v>
      </c>
      <c r="I63" s="47" t="n">
        <f aca="false">F63*H63</f>
        <v>1500</v>
      </c>
      <c r="J63" s="47" t="n">
        <f aca="false">0.18*I63</f>
        <v>270</v>
      </c>
      <c r="K63" s="47" t="n">
        <v>0</v>
      </c>
      <c r="L63" s="47" t="n">
        <f aca="false">SUM(I63:K63)</f>
        <v>1770</v>
      </c>
      <c r="M63" s="29"/>
      <c r="N63" s="17" t="s">
        <v>610</v>
      </c>
      <c r="O63" s="44" t="s">
        <v>609</v>
      </c>
      <c r="P63" s="45"/>
      <c r="Q63" s="29"/>
    </row>
    <row r="64" customFormat="false" ht="15" hidden="false" customHeight="false" outlineLevel="0" collapsed="false">
      <c r="A64" s="17" t="n">
        <v>63</v>
      </c>
      <c r="B64" s="46" t="n">
        <v>45465</v>
      </c>
      <c r="C64" s="29"/>
      <c r="D64" s="4" t="s">
        <v>103</v>
      </c>
      <c r="E64" s="30" t="s">
        <v>649</v>
      </c>
      <c r="F64" s="51" t="n">
        <v>2</v>
      </c>
      <c r="G64" s="51" t="s">
        <v>650</v>
      </c>
      <c r="H64" s="47" t="n">
        <v>296.7</v>
      </c>
      <c r="I64" s="47" t="n">
        <v>593.4</v>
      </c>
      <c r="J64" s="47" t="n">
        <v>106.812</v>
      </c>
      <c r="K64" s="47" t="n">
        <v>0</v>
      </c>
      <c r="L64" s="47" t="n">
        <v>700.212</v>
      </c>
      <c r="M64" s="29"/>
      <c r="N64" s="17" t="s">
        <v>651</v>
      </c>
      <c r="O64" s="44" t="s">
        <v>609</v>
      </c>
      <c r="P64" s="45"/>
      <c r="Q64" s="29"/>
    </row>
    <row r="65" customFormat="false" ht="15" hidden="false" customHeight="false" outlineLevel="0" collapsed="false">
      <c r="A65" s="17" t="n">
        <v>64</v>
      </c>
      <c r="B65" s="46" t="n">
        <v>45465</v>
      </c>
      <c r="C65" s="29"/>
      <c r="D65" s="4" t="s">
        <v>103</v>
      </c>
      <c r="E65" s="30" t="s">
        <v>616</v>
      </c>
      <c r="F65" s="51" t="n">
        <v>2</v>
      </c>
      <c r="G65" s="51" t="s">
        <v>650</v>
      </c>
      <c r="H65" s="47" t="n">
        <v>2614.4</v>
      </c>
      <c r="I65" s="47" t="n">
        <v>5228.8</v>
      </c>
      <c r="J65" s="47" t="n">
        <v>941.184</v>
      </c>
      <c r="K65" s="47" t="n">
        <v>0</v>
      </c>
      <c r="L65" s="47" t="n">
        <v>6169.984</v>
      </c>
      <c r="M65" s="29"/>
      <c r="N65" s="17" t="s">
        <v>651</v>
      </c>
      <c r="O65" s="44" t="s">
        <v>609</v>
      </c>
      <c r="P65" s="45"/>
      <c r="Q65" s="29"/>
    </row>
    <row r="66" customFormat="false" ht="15" hidden="false" customHeight="false" outlineLevel="0" collapsed="false">
      <c r="A66" s="17" t="n">
        <v>65</v>
      </c>
      <c r="B66" s="46" t="n">
        <v>45465</v>
      </c>
      <c r="C66" s="29"/>
      <c r="D66" s="4" t="s">
        <v>464</v>
      </c>
      <c r="E66" s="30" t="s">
        <v>652</v>
      </c>
      <c r="F66" s="51" t="n">
        <v>2</v>
      </c>
      <c r="G66" s="51" t="s">
        <v>653</v>
      </c>
      <c r="H66" s="47" t="n">
        <v>181</v>
      </c>
      <c r="I66" s="47" t="n">
        <v>362</v>
      </c>
      <c r="J66" s="47" t="n">
        <v>65.16</v>
      </c>
      <c r="K66" s="47" t="n">
        <v>120.36</v>
      </c>
      <c r="L66" s="47" t="n">
        <v>547.52</v>
      </c>
      <c r="M66" s="29"/>
      <c r="N66" s="17" t="s">
        <v>651</v>
      </c>
      <c r="O66" s="44" t="s">
        <v>609</v>
      </c>
      <c r="P66" s="45"/>
      <c r="Q66" s="29"/>
    </row>
    <row r="67" customFormat="false" ht="15" hidden="false" customHeight="false" outlineLevel="0" collapsed="false">
      <c r="A67" s="17" t="n">
        <v>66</v>
      </c>
      <c r="B67" s="46" t="n">
        <v>45465</v>
      </c>
      <c r="C67" s="29"/>
      <c r="D67" s="4" t="s">
        <v>501</v>
      </c>
      <c r="E67" s="30" t="s">
        <v>502</v>
      </c>
      <c r="F67" s="51" t="n">
        <v>4</v>
      </c>
      <c r="G67" s="51" t="s">
        <v>654</v>
      </c>
      <c r="H67" s="47" t="n">
        <v>111.1025</v>
      </c>
      <c r="I67" s="47" t="n">
        <v>444.41</v>
      </c>
      <c r="J67" s="47" t="n">
        <v>79.9938</v>
      </c>
      <c r="K67" s="47" t="n">
        <v>113</v>
      </c>
      <c r="L67" s="47" t="n">
        <v>637.4038</v>
      </c>
      <c r="M67" s="29"/>
      <c r="N67" s="17" t="s">
        <v>651</v>
      </c>
      <c r="O67" s="44" t="s">
        <v>609</v>
      </c>
      <c r="P67" s="45"/>
      <c r="Q67" s="29"/>
    </row>
    <row r="68" customFormat="false" ht="15" hidden="false" customHeight="false" outlineLevel="0" collapsed="false">
      <c r="A68" s="17" t="n">
        <v>67</v>
      </c>
      <c r="B68" s="46" t="n">
        <v>45465</v>
      </c>
      <c r="C68" s="29"/>
      <c r="D68" s="4" t="s">
        <v>503</v>
      </c>
      <c r="E68" s="30" t="s">
        <v>504</v>
      </c>
      <c r="F68" s="51" t="n">
        <v>4</v>
      </c>
      <c r="G68" s="51" t="s">
        <v>654</v>
      </c>
      <c r="H68" s="47" t="n">
        <v>465.255</v>
      </c>
      <c r="I68" s="47" t="n">
        <v>1861.02</v>
      </c>
      <c r="J68" s="47" t="n">
        <v>334.9836</v>
      </c>
      <c r="K68" s="47" t="n">
        <v>113</v>
      </c>
      <c r="L68" s="47" t="n">
        <v>2309.0036</v>
      </c>
      <c r="M68" s="29"/>
      <c r="N68" s="17" t="s">
        <v>651</v>
      </c>
      <c r="O68" s="44" t="s">
        <v>609</v>
      </c>
      <c r="P68" s="45"/>
      <c r="Q68" s="29"/>
    </row>
    <row r="69" customFormat="false" ht="15" hidden="false" customHeight="false" outlineLevel="0" collapsed="false">
      <c r="A69" s="17" t="n">
        <v>68</v>
      </c>
      <c r="B69" s="46" t="n">
        <v>45465</v>
      </c>
      <c r="C69" s="29"/>
      <c r="D69" s="4" t="s">
        <v>109</v>
      </c>
      <c r="E69" s="30" t="s">
        <v>655</v>
      </c>
      <c r="F69" s="51" t="n">
        <v>2</v>
      </c>
      <c r="G69" s="51" t="s">
        <v>455</v>
      </c>
      <c r="H69" s="47" t="n">
        <v>39400</v>
      </c>
      <c r="I69" s="47" t="n">
        <v>78800</v>
      </c>
      <c r="J69" s="47" t="n">
        <v>14184</v>
      </c>
      <c r="K69" s="47" t="n">
        <v>0</v>
      </c>
      <c r="L69" s="47" t="n">
        <v>92984</v>
      </c>
      <c r="M69" s="29"/>
      <c r="N69" s="17" t="s">
        <v>651</v>
      </c>
      <c r="O69" s="44" t="s">
        <v>609</v>
      </c>
      <c r="P69" s="45"/>
      <c r="Q69" s="29"/>
    </row>
    <row r="70" customFormat="false" ht="15" hidden="false" customHeight="false" outlineLevel="0" collapsed="false">
      <c r="A70" s="17" t="n">
        <v>69</v>
      </c>
      <c r="B70" s="46" t="n">
        <v>45465</v>
      </c>
      <c r="C70" s="29"/>
      <c r="D70" s="4" t="s">
        <v>437</v>
      </c>
      <c r="E70" s="30" t="s">
        <v>656</v>
      </c>
      <c r="F70" s="51" t="n">
        <v>2</v>
      </c>
      <c r="G70" s="51" t="s">
        <v>455</v>
      </c>
      <c r="H70" s="47" t="n">
        <v>42600</v>
      </c>
      <c r="I70" s="47" t="n">
        <v>85200</v>
      </c>
      <c r="J70" s="47" t="n">
        <v>4260</v>
      </c>
      <c r="K70" s="47" t="n">
        <v>0</v>
      </c>
      <c r="L70" s="47" t="n">
        <v>89460</v>
      </c>
      <c r="M70" s="29"/>
      <c r="N70" s="17" t="s">
        <v>651</v>
      </c>
      <c r="O70" s="44" t="s">
        <v>609</v>
      </c>
      <c r="P70" s="45"/>
      <c r="Q70" s="29"/>
    </row>
    <row r="71" customFormat="false" ht="15" hidden="false" customHeight="false" outlineLevel="0" collapsed="false">
      <c r="A71" s="17" t="n">
        <v>70</v>
      </c>
      <c r="B71" s="46" t="n">
        <v>45465</v>
      </c>
      <c r="C71" s="29"/>
      <c r="D71" s="4" t="s">
        <v>470</v>
      </c>
      <c r="E71" s="30" t="s">
        <v>657</v>
      </c>
      <c r="F71" s="51" t="n">
        <v>4</v>
      </c>
      <c r="G71" s="51" t="s">
        <v>455</v>
      </c>
      <c r="H71" s="47" t="n">
        <v>17700</v>
      </c>
      <c r="I71" s="47" t="n">
        <v>70800</v>
      </c>
      <c r="J71" s="47" t="n">
        <v>12744</v>
      </c>
      <c r="K71" s="47" t="n">
        <v>0</v>
      </c>
      <c r="L71" s="47" t="n">
        <v>83544</v>
      </c>
      <c r="M71" s="29"/>
      <c r="N71" s="17" t="s">
        <v>651</v>
      </c>
      <c r="O71" s="44" t="s">
        <v>609</v>
      </c>
      <c r="P71" s="45"/>
      <c r="Q71" s="29"/>
    </row>
    <row r="72" customFormat="false" ht="15" hidden="false" customHeight="false" outlineLevel="0" collapsed="false">
      <c r="A72" s="17" t="n">
        <v>71</v>
      </c>
      <c r="B72" s="46" t="n">
        <v>45465</v>
      </c>
      <c r="C72" s="29"/>
      <c r="D72" s="4" t="s">
        <v>187</v>
      </c>
      <c r="E72" s="30" t="s">
        <v>658</v>
      </c>
      <c r="F72" s="51" t="n">
        <v>6</v>
      </c>
      <c r="G72" s="51" t="s">
        <v>455</v>
      </c>
      <c r="H72" s="47" t="n">
        <v>10520</v>
      </c>
      <c r="I72" s="47" t="n">
        <v>63120</v>
      </c>
      <c r="J72" s="47" t="n">
        <v>3156</v>
      </c>
      <c r="K72" s="47" t="n">
        <v>0</v>
      </c>
      <c r="L72" s="47" t="n">
        <v>66276</v>
      </c>
      <c r="M72" s="29"/>
      <c r="N72" s="17" t="s">
        <v>651</v>
      </c>
      <c r="O72" s="44" t="s">
        <v>609</v>
      </c>
      <c r="P72" s="45"/>
      <c r="Q72" s="29"/>
    </row>
    <row r="73" customFormat="false" ht="15" hidden="false" customHeight="false" outlineLevel="0" collapsed="false">
      <c r="A73" s="17" t="n">
        <v>72</v>
      </c>
      <c r="B73" s="46" t="n">
        <v>45465</v>
      </c>
      <c r="C73" s="29"/>
      <c r="D73" s="4" t="s">
        <v>187</v>
      </c>
      <c r="E73" s="30" t="s">
        <v>658</v>
      </c>
      <c r="F73" s="51" t="n">
        <v>6</v>
      </c>
      <c r="G73" s="51" t="s">
        <v>455</v>
      </c>
      <c r="H73" s="47" t="n">
        <v>10520</v>
      </c>
      <c r="I73" s="47" t="n">
        <v>63120</v>
      </c>
      <c r="J73" s="47" t="n">
        <v>3156</v>
      </c>
      <c r="K73" s="47" t="n">
        <v>0</v>
      </c>
      <c r="L73" s="47" t="n">
        <v>66276</v>
      </c>
      <c r="M73" s="29"/>
      <c r="N73" s="17" t="s">
        <v>651</v>
      </c>
      <c r="O73" s="44" t="s">
        <v>609</v>
      </c>
      <c r="P73" s="45"/>
      <c r="Q73" s="29"/>
    </row>
    <row r="74" customFormat="false" ht="15" hidden="false" customHeight="false" outlineLevel="0" collapsed="false">
      <c r="A74" s="17" t="n">
        <v>73</v>
      </c>
      <c r="B74" s="46" t="n">
        <v>45465</v>
      </c>
      <c r="C74" s="29"/>
      <c r="D74" s="4" t="s">
        <v>171</v>
      </c>
      <c r="E74" s="30" t="s">
        <v>659</v>
      </c>
      <c r="F74" s="51" t="n">
        <v>2</v>
      </c>
      <c r="G74" s="51" t="s">
        <v>455</v>
      </c>
      <c r="H74" s="47" t="n">
        <v>17000</v>
      </c>
      <c r="I74" s="47" t="n">
        <v>34000</v>
      </c>
      <c r="J74" s="47" t="n">
        <v>6120</v>
      </c>
      <c r="K74" s="47" t="n">
        <v>0</v>
      </c>
      <c r="L74" s="47" t="n">
        <v>40120</v>
      </c>
      <c r="M74" s="29"/>
      <c r="N74" s="17" t="s">
        <v>651</v>
      </c>
      <c r="O74" s="44" t="s">
        <v>609</v>
      </c>
      <c r="P74" s="45"/>
      <c r="Q74" s="29"/>
    </row>
    <row r="75" customFormat="false" ht="15" hidden="false" customHeight="false" outlineLevel="0" collapsed="false">
      <c r="A75" s="17" t="n">
        <v>74</v>
      </c>
      <c r="B75" s="46" t="n">
        <v>45465</v>
      </c>
      <c r="C75" s="29"/>
      <c r="D75" s="4" t="s">
        <v>300</v>
      </c>
      <c r="E75" s="30" t="s">
        <v>660</v>
      </c>
      <c r="F75" s="51" t="n">
        <v>2</v>
      </c>
      <c r="G75" s="51" t="s">
        <v>455</v>
      </c>
      <c r="H75" s="47" t="n">
        <v>10200</v>
      </c>
      <c r="I75" s="47" t="n">
        <v>20400</v>
      </c>
      <c r="J75" s="47" t="n">
        <v>1020</v>
      </c>
      <c r="K75" s="47" t="n">
        <v>0</v>
      </c>
      <c r="L75" s="47" t="n">
        <v>21420</v>
      </c>
      <c r="M75" s="29"/>
      <c r="N75" s="17" t="s">
        <v>651</v>
      </c>
      <c r="O75" s="44" t="s">
        <v>609</v>
      </c>
      <c r="P75" s="45"/>
      <c r="Q75" s="29"/>
    </row>
    <row r="76" customFormat="false" ht="15" hidden="false" customHeight="false" outlineLevel="0" collapsed="false">
      <c r="A76" s="17" t="n">
        <v>75</v>
      </c>
      <c r="B76" s="46" t="n">
        <v>45465</v>
      </c>
      <c r="C76" s="29"/>
      <c r="D76" s="4" t="s">
        <v>239</v>
      </c>
      <c r="E76" s="30" t="s">
        <v>661</v>
      </c>
      <c r="F76" s="51" t="n">
        <v>2</v>
      </c>
      <c r="G76" s="51" t="s">
        <v>455</v>
      </c>
      <c r="H76" s="47" t="n">
        <v>3000</v>
      </c>
      <c r="I76" s="47" t="n">
        <v>6000</v>
      </c>
      <c r="J76" s="47" t="n">
        <v>300</v>
      </c>
      <c r="K76" s="47" t="n">
        <v>0</v>
      </c>
      <c r="L76" s="47" t="n">
        <v>6300</v>
      </c>
      <c r="M76" s="29"/>
      <c r="N76" s="17" t="s">
        <v>651</v>
      </c>
      <c r="O76" s="44" t="s">
        <v>609</v>
      </c>
      <c r="P76" s="45"/>
      <c r="Q76" s="29"/>
    </row>
    <row r="77" customFormat="false" ht="15" hidden="false" customHeight="false" outlineLevel="0" collapsed="false">
      <c r="A77" s="17" t="n">
        <v>76</v>
      </c>
      <c r="B77" s="46" t="n">
        <v>45465</v>
      </c>
      <c r="C77" s="29"/>
      <c r="D77" s="4" t="s">
        <v>276</v>
      </c>
      <c r="E77" s="30" t="s">
        <v>662</v>
      </c>
      <c r="F77" s="51" t="n">
        <v>2</v>
      </c>
      <c r="G77" s="51" t="s">
        <v>654</v>
      </c>
      <c r="H77" s="47" t="n">
        <v>28220.34</v>
      </c>
      <c r="I77" s="47" t="n">
        <v>56440.68</v>
      </c>
      <c r="J77" s="47" t="n">
        <v>10159.3224</v>
      </c>
      <c r="K77" s="47" t="n">
        <v>31.36</v>
      </c>
      <c r="L77" s="47" t="n">
        <v>66631.3624</v>
      </c>
      <c r="M77" s="29"/>
      <c r="N77" s="17" t="s">
        <v>651</v>
      </c>
      <c r="O77" s="44" t="s">
        <v>609</v>
      </c>
      <c r="P77" s="45"/>
      <c r="Q77" s="29"/>
    </row>
    <row r="78" customFormat="false" ht="15" hidden="false" customHeight="false" outlineLevel="0" collapsed="false">
      <c r="A78" s="17" t="n">
        <v>77</v>
      </c>
      <c r="B78" s="46" t="n">
        <v>45465</v>
      </c>
      <c r="C78" s="29"/>
      <c r="D78" s="4" t="s">
        <v>468</v>
      </c>
      <c r="E78" s="30" t="s">
        <v>469</v>
      </c>
      <c r="F78" s="51" t="n">
        <v>8</v>
      </c>
      <c r="G78" s="51" t="s">
        <v>654</v>
      </c>
      <c r="H78" s="47" t="n">
        <v>558.0675</v>
      </c>
      <c r="I78" s="47" t="n">
        <v>4464.54</v>
      </c>
      <c r="J78" s="47" t="n">
        <v>803.6172</v>
      </c>
      <c r="K78" s="47" t="n">
        <v>31.36</v>
      </c>
      <c r="L78" s="47" t="n">
        <v>5299.5172</v>
      </c>
      <c r="M78" s="29"/>
      <c r="N78" s="17" t="s">
        <v>651</v>
      </c>
      <c r="O78" s="44" t="s">
        <v>609</v>
      </c>
      <c r="P78" s="45"/>
      <c r="Q78" s="29"/>
    </row>
    <row r="79" customFormat="false" ht="15" hidden="false" customHeight="false" outlineLevel="0" collapsed="false">
      <c r="A79" s="17" t="n">
        <v>78</v>
      </c>
      <c r="B79" s="46" t="n">
        <v>45465</v>
      </c>
      <c r="C79" s="29"/>
      <c r="D79" s="4" t="s">
        <v>505</v>
      </c>
      <c r="E79" s="30" t="s">
        <v>506</v>
      </c>
      <c r="F79" s="51" t="n">
        <v>10</v>
      </c>
      <c r="G79" s="51" t="s">
        <v>654</v>
      </c>
      <c r="H79" s="47" t="n">
        <v>107.254</v>
      </c>
      <c r="I79" s="47" t="n">
        <v>1072.54</v>
      </c>
      <c r="J79" s="47" t="n">
        <v>193.0572</v>
      </c>
      <c r="K79" s="47" t="n">
        <v>31.36</v>
      </c>
      <c r="L79" s="47" t="n">
        <v>1296.9572</v>
      </c>
      <c r="M79" s="29"/>
      <c r="N79" s="17" t="s">
        <v>651</v>
      </c>
      <c r="O79" s="44" t="s">
        <v>609</v>
      </c>
      <c r="P79" s="45"/>
      <c r="Q79" s="29"/>
    </row>
    <row r="80" customFormat="false" ht="15" hidden="false" customHeight="false" outlineLevel="0" collapsed="false">
      <c r="A80" s="17" t="n">
        <v>79</v>
      </c>
      <c r="B80" s="46" t="n">
        <v>45465</v>
      </c>
      <c r="C80" s="29"/>
      <c r="D80" s="4" t="s">
        <v>451</v>
      </c>
      <c r="E80" s="30" t="s">
        <v>663</v>
      </c>
      <c r="F80" s="51" t="n">
        <v>16</v>
      </c>
      <c r="G80" s="51" t="s">
        <v>654</v>
      </c>
      <c r="H80" s="47" t="n">
        <v>32.5675</v>
      </c>
      <c r="I80" s="47" t="n">
        <v>521.08</v>
      </c>
      <c r="J80" s="47" t="n">
        <v>93.7944</v>
      </c>
      <c r="K80" s="47" t="n">
        <v>31.36</v>
      </c>
      <c r="L80" s="47" t="n">
        <v>646.2344</v>
      </c>
      <c r="M80" s="29"/>
      <c r="N80" s="17" t="s">
        <v>651</v>
      </c>
      <c r="O80" s="44" t="s">
        <v>609</v>
      </c>
      <c r="P80" s="45"/>
      <c r="Q80" s="29"/>
    </row>
    <row r="81" customFormat="false" ht="15" hidden="false" customHeight="false" outlineLevel="0" collapsed="false">
      <c r="A81" s="17" t="n">
        <v>80</v>
      </c>
      <c r="B81" s="46" t="n">
        <v>45465</v>
      </c>
      <c r="C81" s="29"/>
      <c r="D81" s="4" t="s">
        <v>466</v>
      </c>
      <c r="E81" s="30" t="s">
        <v>664</v>
      </c>
      <c r="F81" s="51" t="n">
        <v>2</v>
      </c>
      <c r="G81" s="51" t="s">
        <v>654</v>
      </c>
      <c r="H81" s="47" t="n">
        <v>427.965</v>
      </c>
      <c r="I81" s="47" t="n">
        <v>855.93</v>
      </c>
      <c r="J81" s="47" t="n">
        <v>154.0674</v>
      </c>
      <c r="K81" s="47" t="n">
        <v>31.36</v>
      </c>
      <c r="L81" s="47" t="n">
        <v>1041.3574</v>
      </c>
      <c r="M81" s="29"/>
      <c r="N81" s="17" t="s">
        <v>651</v>
      </c>
      <c r="O81" s="44" t="s">
        <v>609</v>
      </c>
      <c r="P81" s="45"/>
      <c r="Q81" s="29"/>
    </row>
    <row r="82" customFormat="false" ht="15" hidden="false" customHeight="false" outlineLevel="0" collapsed="false">
      <c r="A82" s="17" t="n">
        <v>81</v>
      </c>
      <c r="B82" s="46" t="n">
        <v>45465</v>
      </c>
      <c r="C82" s="29"/>
      <c r="D82" s="4" t="s">
        <v>75</v>
      </c>
      <c r="E82" s="30" t="s">
        <v>665</v>
      </c>
      <c r="F82" s="51" t="n">
        <v>2</v>
      </c>
      <c r="G82" s="51" t="s">
        <v>654</v>
      </c>
      <c r="H82" s="47" t="n">
        <v>144.07</v>
      </c>
      <c r="I82" s="47" t="n">
        <v>288.14</v>
      </c>
      <c r="J82" s="47" t="n">
        <v>51.8652</v>
      </c>
      <c r="K82" s="47" t="n">
        <v>31.36</v>
      </c>
      <c r="L82" s="47" t="n">
        <v>371.3652</v>
      </c>
      <c r="M82" s="29"/>
      <c r="N82" s="17" t="s">
        <v>651</v>
      </c>
      <c r="O82" s="44" t="s">
        <v>609</v>
      </c>
      <c r="P82" s="45"/>
      <c r="Q82" s="29"/>
    </row>
    <row r="83" customFormat="false" ht="15" hidden="false" customHeight="false" outlineLevel="0" collapsed="false">
      <c r="A83" s="17" t="n">
        <v>82</v>
      </c>
      <c r="B83" s="46" t="n">
        <v>45465</v>
      </c>
      <c r="C83" s="29"/>
      <c r="D83" s="4" t="s">
        <v>494</v>
      </c>
      <c r="E83" s="30" t="s">
        <v>666</v>
      </c>
      <c r="F83" s="51" t="n">
        <v>5</v>
      </c>
      <c r="G83" s="51" t="s">
        <v>654</v>
      </c>
      <c r="H83" s="47" t="n">
        <v>54.094</v>
      </c>
      <c r="I83" s="47" t="n">
        <v>270.47</v>
      </c>
      <c r="J83" s="47" t="n">
        <v>48.6846</v>
      </c>
      <c r="K83" s="47" t="n">
        <v>31.36</v>
      </c>
      <c r="L83" s="47" t="n">
        <v>350.5146</v>
      </c>
      <c r="M83" s="29"/>
      <c r="N83" s="17" t="s">
        <v>651</v>
      </c>
      <c r="O83" s="44" t="s">
        <v>609</v>
      </c>
      <c r="P83" s="45"/>
      <c r="Q83" s="29"/>
    </row>
    <row r="84" customFormat="false" ht="15" hidden="false" customHeight="false" outlineLevel="0" collapsed="false">
      <c r="A84" s="17" t="n">
        <v>83</v>
      </c>
      <c r="B84" s="46" t="n">
        <v>45465</v>
      </c>
      <c r="C84" s="29"/>
      <c r="D84" s="4" t="s">
        <v>496</v>
      </c>
      <c r="E84" s="30" t="s">
        <v>667</v>
      </c>
      <c r="F84" s="51" t="n">
        <v>5</v>
      </c>
      <c r="G84" s="51" t="s">
        <v>654</v>
      </c>
      <c r="H84" s="47" t="n">
        <v>81.542</v>
      </c>
      <c r="I84" s="47" t="n">
        <v>407.71</v>
      </c>
      <c r="J84" s="47" t="n">
        <v>73.3878</v>
      </c>
      <c r="K84" s="47" t="n">
        <v>31.36</v>
      </c>
      <c r="L84" s="47" t="n">
        <v>512.4578</v>
      </c>
      <c r="M84" s="29"/>
      <c r="N84" s="17" t="s">
        <v>651</v>
      </c>
      <c r="O84" s="44" t="s">
        <v>609</v>
      </c>
      <c r="P84" s="45"/>
      <c r="Q84" s="29"/>
    </row>
    <row r="85" customFormat="false" ht="15" hidden="false" customHeight="false" outlineLevel="0" collapsed="false">
      <c r="A85" s="17" t="n">
        <v>84</v>
      </c>
      <c r="B85" s="46" t="n">
        <v>45465</v>
      </c>
      <c r="C85" s="29"/>
      <c r="D85" s="4" t="s">
        <v>501</v>
      </c>
      <c r="E85" s="30" t="s">
        <v>668</v>
      </c>
      <c r="F85" s="51" t="n">
        <v>4</v>
      </c>
      <c r="G85" s="51" t="s">
        <v>654</v>
      </c>
      <c r="H85" s="47" t="n">
        <v>57.3725</v>
      </c>
      <c r="I85" s="47" t="n">
        <v>229.49</v>
      </c>
      <c r="J85" s="47" t="n">
        <v>41.3082</v>
      </c>
      <c r="K85" s="47" t="n">
        <v>31.36</v>
      </c>
      <c r="L85" s="47" t="n">
        <v>302.1582</v>
      </c>
      <c r="M85" s="29"/>
      <c r="N85" s="17" t="s">
        <v>651</v>
      </c>
      <c r="O85" s="44" t="s">
        <v>609</v>
      </c>
      <c r="P85" s="45"/>
      <c r="Q85" s="29"/>
    </row>
    <row r="86" customFormat="false" ht="15" hidden="false" customHeight="false" outlineLevel="0" collapsed="false">
      <c r="A86" s="17" t="n">
        <v>85</v>
      </c>
      <c r="B86" s="46" t="n">
        <v>45465</v>
      </c>
      <c r="C86" s="29"/>
      <c r="D86" s="4" t="s">
        <v>501</v>
      </c>
      <c r="E86" s="30" t="s">
        <v>669</v>
      </c>
      <c r="F86" s="51" t="n">
        <v>4</v>
      </c>
      <c r="G86" s="51" t="s">
        <v>654</v>
      </c>
      <c r="H86" s="47" t="n">
        <v>57.3725</v>
      </c>
      <c r="I86" s="47" t="n">
        <v>229.49</v>
      </c>
      <c r="J86" s="47" t="n">
        <v>41.3082</v>
      </c>
      <c r="K86" s="47" t="n">
        <v>31.36</v>
      </c>
      <c r="L86" s="47" t="n">
        <v>302.1582</v>
      </c>
      <c r="M86" s="29"/>
      <c r="N86" s="17" t="s">
        <v>651</v>
      </c>
      <c r="O86" s="44" t="s">
        <v>609</v>
      </c>
      <c r="P86" s="45"/>
      <c r="Q86" s="29"/>
    </row>
    <row r="87" customFormat="false" ht="15" hidden="false" customHeight="false" outlineLevel="0" collapsed="false">
      <c r="A87" s="17" t="n">
        <v>86</v>
      </c>
      <c r="B87" s="46" t="n">
        <v>45465</v>
      </c>
      <c r="C87" s="29"/>
      <c r="D87" s="4" t="s">
        <v>503</v>
      </c>
      <c r="E87" s="30" t="s">
        <v>504</v>
      </c>
      <c r="F87" s="51" t="n">
        <v>4</v>
      </c>
      <c r="G87" s="51" t="s">
        <v>654</v>
      </c>
      <c r="H87" s="47" t="n">
        <v>458.89</v>
      </c>
      <c r="I87" s="47" t="n">
        <v>1835.56</v>
      </c>
      <c r="J87" s="47" t="n">
        <v>330.4008</v>
      </c>
      <c r="K87" s="47" t="n">
        <v>31.36</v>
      </c>
      <c r="L87" s="47" t="n">
        <v>2197.3208</v>
      </c>
      <c r="M87" s="29"/>
      <c r="N87" s="17" t="s">
        <v>651</v>
      </c>
      <c r="O87" s="44" t="s">
        <v>609</v>
      </c>
      <c r="P87" s="45"/>
      <c r="Q87" s="29"/>
    </row>
    <row r="88" customFormat="false" ht="15" hidden="false" customHeight="false" outlineLevel="0" collapsed="false">
      <c r="A88" s="17" t="n">
        <v>87</v>
      </c>
      <c r="B88" s="46" t="n">
        <v>45465</v>
      </c>
      <c r="C88" s="29"/>
      <c r="D88" s="4" t="s">
        <v>416</v>
      </c>
      <c r="E88" s="30" t="s">
        <v>670</v>
      </c>
      <c r="F88" s="51" t="n">
        <v>4</v>
      </c>
      <c r="G88" s="51" t="s">
        <v>671</v>
      </c>
      <c r="H88" s="47" t="n">
        <v>5397</v>
      </c>
      <c r="I88" s="47" t="n">
        <v>21588</v>
      </c>
      <c r="J88" s="47" t="n">
        <v>3885.84</v>
      </c>
      <c r="K88" s="47" t="n">
        <v>0</v>
      </c>
      <c r="L88" s="47" t="n">
        <v>25473.84</v>
      </c>
      <c r="M88" s="29"/>
      <c r="N88" s="17" t="s">
        <v>651</v>
      </c>
      <c r="O88" s="44" t="s">
        <v>609</v>
      </c>
      <c r="P88" s="45"/>
      <c r="Q88" s="29"/>
    </row>
    <row r="89" customFormat="false" ht="15" hidden="false" customHeight="false" outlineLevel="0" collapsed="false">
      <c r="A89" s="17" t="n">
        <v>88</v>
      </c>
      <c r="B89" s="46" t="n">
        <v>45465</v>
      </c>
      <c r="C89" s="29"/>
      <c r="D89" s="4" t="s">
        <v>44</v>
      </c>
      <c r="E89" s="30" t="s">
        <v>672</v>
      </c>
      <c r="F89" s="51" t="n">
        <v>3</v>
      </c>
      <c r="G89" s="51" t="s">
        <v>671</v>
      </c>
      <c r="H89" s="47" t="n">
        <v>1420</v>
      </c>
      <c r="I89" s="47" t="n">
        <v>4260</v>
      </c>
      <c r="J89" s="47" t="n">
        <v>766.8</v>
      </c>
      <c r="K89" s="47" t="n">
        <v>0</v>
      </c>
      <c r="L89" s="47" t="n">
        <v>5026.8</v>
      </c>
      <c r="M89" s="29"/>
      <c r="N89" s="17" t="s">
        <v>651</v>
      </c>
      <c r="O89" s="44" t="s">
        <v>609</v>
      </c>
      <c r="P89" s="45"/>
      <c r="Q89" s="29"/>
    </row>
    <row r="90" customFormat="false" ht="15" hidden="false" customHeight="false" outlineLevel="0" collapsed="false">
      <c r="A90" s="17" t="n">
        <v>89</v>
      </c>
      <c r="B90" s="46" t="n">
        <v>45465</v>
      </c>
      <c r="C90" s="29"/>
      <c r="D90" s="4" t="s">
        <v>35</v>
      </c>
      <c r="E90" s="30" t="s">
        <v>673</v>
      </c>
      <c r="F90" s="51" t="n">
        <v>1</v>
      </c>
      <c r="G90" s="51" t="s">
        <v>671</v>
      </c>
      <c r="H90" s="47" t="n">
        <v>1162</v>
      </c>
      <c r="I90" s="47" t="n">
        <v>1162</v>
      </c>
      <c r="J90" s="47" t="n">
        <v>209.16</v>
      </c>
      <c r="K90" s="47" t="n">
        <v>0</v>
      </c>
      <c r="L90" s="47" t="n">
        <v>1371.16</v>
      </c>
      <c r="M90" s="29"/>
      <c r="N90" s="17" t="s">
        <v>651</v>
      </c>
      <c r="O90" s="44" t="s">
        <v>609</v>
      </c>
      <c r="P90" s="45"/>
      <c r="Q90" s="29"/>
    </row>
    <row r="91" customFormat="false" ht="15" hidden="false" customHeight="false" outlineLevel="0" collapsed="false">
      <c r="A91" s="17" t="n">
        <v>90</v>
      </c>
      <c r="B91" s="46" t="n">
        <v>45465</v>
      </c>
      <c r="C91" s="29"/>
      <c r="D91" s="4" t="s">
        <v>443</v>
      </c>
      <c r="E91" s="30" t="s">
        <v>674</v>
      </c>
      <c r="F91" s="51" t="n">
        <v>2</v>
      </c>
      <c r="G91" s="51" t="s">
        <v>675</v>
      </c>
      <c r="H91" s="47" t="n">
        <v>4420</v>
      </c>
      <c r="I91" s="47" t="n">
        <v>8840</v>
      </c>
      <c r="J91" s="47" t="n">
        <v>442</v>
      </c>
      <c r="K91" s="47" t="n">
        <v>0</v>
      </c>
      <c r="L91" s="47" t="n">
        <v>9282</v>
      </c>
      <c r="M91" s="29"/>
      <c r="N91" s="17" t="s">
        <v>651</v>
      </c>
      <c r="O91" s="44" t="s">
        <v>609</v>
      </c>
      <c r="P91" s="45"/>
      <c r="Q91" s="29"/>
    </row>
    <row r="92" customFormat="false" ht="15" hidden="false" customHeight="false" outlineLevel="0" collapsed="false">
      <c r="A92" s="17" t="n">
        <v>91</v>
      </c>
      <c r="B92" s="46" t="n">
        <v>45465</v>
      </c>
      <c r="C92" s="29"/>
      <c r="D92" s="4" t="s">
        <v>460</v>
      </c>
      <c r="E92" s="30" t="s">
        <v>676</v>
      </c>
      <c r="F92" s="51" t="n">
        <v>2</v>
      </c>
      <c r="G92" s="51" t="s">
        <v>675</v>
      </c>
      <c r="H92" s="47" t="n">
        <v>3900</v>
      </c>
      <c r="I92" s="47" t="n">
        <v>7800</v>
      </c>
      <c r="J92" s="47" t="n">
        <v>390</v>
      </c>
      <c r="K92" s="47" t="n">
        <v>0</v>
      </c>
      <c r="L92" s="47" t="n">
        <v>8190</v>
      </c>
      <c r="M92" s="29"/>
      <c r="N92" s="17" t="s">
        <v>651</v>
      </c>
      <c r="O92" s="44" t="s">
        <v>609</v>
      </c>
      <c r="P92" s="45"/>
      <c r="Q92" s="29"/>
    </row>
    <row r="93" customFormat="false" ht="15" hidden="false" customHeight="false" outlineLevel="0" collapsed="false">
      <c r="A93" s="17" t="n">
        <v>92</v>
      </c>
      <c r="B93" s="46" t="n">
        <v>45465</v>
      </c>
      <c r="C93" s="29"/>
      <c r="D93" s="4" t="s">
        <v>462</v>
      </c>
      <c r="E93" s="30" t="s">
        <v>677</v>
      </c>
      <c r="F93" s="51" t="n">
        <v>2</v>
      </c>
      <c r="G93" s="51" t="s">
        <v>675</v>
      </c>
      <c r="H93" s="47" t="n">
        <v>500</v>
      </c>
      <c r="I93" s="47" t="n">
        <v>1000</v>
      </c>
      <c r="J93" s="47" t="n">
        <v>50</v>
      </c>
      <c r="K93" s="47" t="n">
        <v>0</v>
      </c>
      <c r="L93" s="47" t="n">
        <v>1050</v>
      </c>
      <c r="M93" s="29"/>
      <c r="N93" s="17" t="s">
        <v>651</v>
      </c>
      <c r="O93" s="44" t="s">
        <v>609</v>
      </c>
      <c r="P93" s="45"/>
      <c r="Q93" s="29"/>
    </row>
    <row r="94" customFormat="false" ht="15" hidden="false" customHeight="false" outlineLevel="0" collapsed="false">
      <c r="A94" s="17" t="n">
        <v>93</v>
      </c>
      <c r="B94" s="46" t="n">
        <v>45465</v>
      </c>
      <c r="C94" s="29"/>
      <c r="D94" s="4" t="s">
        <v>242</v>
      </c>
      <c r="E94" s="30" t="s">
        <v>678</v>
      </c>
      <c r="F94" s="51" t="n">
        <v>2</v>
      </c>
      <c r="G94" s="51" t="s">
        <v>675</v>
      </c>
      <c r="H94" s="47" t="n">
        <v>29000</v>
      </c>
      <c r="I94" s="47" t="n">
        <v>58000</v>
      </c>
      <c r="J94" s="47" t="n">
        <v>2900</v>
      </c>
      <c r="K94" s="47" t="n">
        <v>0</v>
      </c>
      <c r="L94" s="47" t="n">
        <v>60900</v>
      </c>
      <c r="M94" s="29"/>
      <c r="N94" s="17" t="s">
        <v>651</v>
      </c>
      <c r="O94" s="44" t="s">
        <v>609</v>
      </c>
      <c r="P94" s="45"/>
      <c r="Q94" s="29"/>
    </row>
    <row r="95" customFormat="false" ht="15" hidden="false" customHeight="false" outlineLevel="0" collapsed="false">
      <c r="A95" s="17" t="n">
        <v>94</v>
      </c>
      <c r="B95" s="46" t="n">
        <v>45465</v>
      </c>
      <c r="C95" s="29"/>
      <c r="D95" s="4" t="s">
        <v>255</v>
      </c>
      <c r="E95" s="30" t="s">
        <v>679</v>
      </c>
      <c r="F95" s="51" t="n">
        <v>2</v>
      </c>
      <c r="G95" s="51" t="s">
        <v>675</v>
      </c>
      <c r="H95" s="47" t="n">
        <v>18750</v>
      </c>
      <c r="I95" s="47" t="n">
        <v>37500</v>
      </c>
      <c r="J95" s="47" t="n">
        <v>1875</v>
      </c>
      <c r="K95" s="47" t="n">
        <v>0</v>
      </c>
      <c r="L95" s="47" t="n">
        <v>39375</v>
      </c>
      <c r="M95" s="29"/>
      <c r="N95" s="17" t="s">
        <v>651</v>
      </c>
      <c r="O95" s="44" t="s">
        <v>609</v>
      </c>
      <c r="P95" s="45"/>
      <c r="Q95" s="29"/>
    </row>
    <row r="96" customFormat="false" ht="15" hidden="false" customHeight="false" outlineLevel="0" collapsed="false">
      <c r="A96" s="17" t="n">
        <v>95</v>
      </c>
      <c r="B96" s="46" t="n">
        <v>45465</v>
      </c>
      <c r="C96" s="29"/>
      <c r="D96" s="4" t="s">
        <v>95</v>
      </c>
      <c r="E96" s="30" t="s">
        <v>680</v>
      </c>
      <c r="F96" s="51" t="n">
        <v>2</v>
      </c>
      <c r="G96" s="51" t="s">
        <v>681</v>
      </c>
      <c r="H96" s="47" t="n">
        <v>1123</v>
      </c>
      <c r="I96" s="47" t="n">
        <v>2246</v>
      </c>
      <c r="J96" s="47" t="n">
        <v>112.3</v>
      </c>
      <c r="K96" s="47" t="n">
        <v>0</v>
      </c>
      <c r="L96" s="47" t="n">
        <v>2358.3</v>
      </c>
      <c r="M96" s="29"/>
      <c r="N96" s="17" t="s">
        <v>651</v>
      </c>
      <c r="O96" s="44" t="s">
        <v>609</v>
      </c>
      <c r="P96" s="45"/>
      <c r="Q96" s="29"/>
    </row>
    <row r="97" customFormat="false" ht="15" hidden="false" customHeight="false" outlineLevel="0" collapsed="false">
      <c r="A97" s="17" t="n">
        <v>96</v>
      </c>
      <c r="B97" s="46" t="n">
        <v>45465</v>
      </c>
      <c r="C97" s="29"/>
      <c r="D97" s="4" t="s">
        <v>95</v>
      </c>
      <c r="E97" s="30" t="s">
        <v>682</v>
      </c>
      <c r="F97" s="51" t="n">
        <v>2</v>
      </c>
      <c r="G97" s="51" t="s">
        <v>681</v>
      </c>
      <c r="H97" s="47" t="n">
        <v>1149</v>
      </c>
      <c r="I97" s="47" t="n">
        <v>2298</v>
      </c>
      <c r="J97" s="47" t="n">
        <v>114.9</v>
      </c>
      <c r="K97" s="47" t="n">
        <v>0</v>
      </c>
      <c r="L97" s="47" t="n">
        <v>2412.9</v>
      </c>
      <c r="M97" s="29"/>
      <c r="N97" s="17" t="s">
        <v>651</v>
      </c>
      <c r="O97" s="44" t="s">
        <v>609</v>
      </c>
      <c r="P97" s="45"/>
      <c r="Q97" s="29"/>
    </row>
    <row r="98" customFormat="false" ht="15" hidden="false" customHeight="false" outlineLevel="0" collapsed="false">
      <c r="A98" s="17" t="n">
        <v>97</v>
      </c>
      <c r="B98" s="46" t="n">
        <v>45465</v>
      </c>
      <c r="C98" s="29"/>
      <c r="D98" s="4" t="s">
        <v>95</v>
      </c>
      <c r="E98" s="30" t="s">
        <v>683</v>
      </c>
      <c r="F98" s="51" t="n">
        <v>1</v>
      </c>
      <c r="G98" s="51" t="s">
        <v>681</v>
      </c>
      <c r="H98" s="47" t="n">
        <v>542</v>
      </c>
      <c r="I98" s="47" t="n">
        <v>542</v>
      </c>
      <c r="J98" s="47" t="n">
        <v>27.1</v>
      </c>
      <c r="K98" s="47" t="n">
        <v>0</v>
      </c>
      <c r="L98" s="47" t="n">
        <v>569.1</v>
      </c>
      <c r="M98" s="29"/>
      <c r="N98" s="17" t="s">
        <v>651</v>
      </c>
      <c r="O98" s="44" t="s">
        <v>609</v>
      </c>
      <c r="P98" s="45"/>
      <c r="Q98" s="29"/>
    </row>
    <row r="99" customFormat="false" ht="15" hidden="false" customHeight="false" outlineLevel="0" collapsed="false">
      <c r="A99" s="17" t="n">
        <v>98</v>
      </c>
      <c r="B99" s="46" t="n">
        <v>45465</v>
      </c>
      <c r="C99" s="29"/>
      <c r="D99" s="4" t="s">
        <v>95</v>
      </c>
      <c r="E99" s="30" t="s">
        <v>684</v>
      </c>
      <c r="F99" s="51" t="n">
        <v>2</v>
      </c>
      <c r="G99" s="51" t="s">
        <v>681</v>
      </c>
      <c r="H99" s="47" t="n">
        <v>353</v>
      </c>
      <c r="I99" s="47" t="n">
        <v>706</v>
      </c>
      <c r="J99" s="47" t="n">
        <v>35.3</v>
      </c>
      <c r="K99" s="47" t="n">
        <v>0</v>
      </c>
      <c r="L99" s="47" t="n">
        <v>741.3</v>
      </c>
      <c r="M99" s="29"/>
      <c r="N99" s="17" t="s">
        <v>651</v>
      </c>
      <c r="O99" s="44" t="s">
        <v>609</v>
      </c>
      <c r="P99" s="45"/>
      <c r="Q99" s="29"/>
    </row>
    <row r="100" customFormat="false" ht="15" hidden="false" customHeight="false" outlineLevel="0" collapsed="false">
      <c r="A100" s="17" t="n">
        <v>99</v>
      </c>
      <c r="B100" s="46" t="n">
        <v>45465</v>
      </c>
      <c r="C100" s="29"/>
      <c r="D100" s="4" t="s">
        <v>488</v>
      </c>
      <c r="E100" s="30" t="s">
        <v>685</v>
      </c>
      <c r="F100" s="51" t="n">
        <v>1</v>
      </c>
      <c r="G100" s="51" t="s">
        <v>686</v>
      </c>
      <c r="H100" s="47" t="n">
        <v>700</v>
      </c>
      <c r="I100" s="47" t="n">
        <v>700</v>
      </c>
      <c r="J100" s="47" t="n">
        <v>126</v>
      </c>
      <c r="K100" s="47" t="n">
        <v>0</v>
      </c>
      <c r="L100" s="47" t="n">
        <v>826</v>
      </c>
      <c r="M100" s="29"/>
      <c r="N100" s="17" t="s">
        <v>651</v>
      </c>
      <c r="O100" s="44" t="s">
        <v>609</v>
      </c>
      <c r="P100" s="45"/>
      <c r="Q100" s="29"/>
    </row>
    <row r="101" customFormat="false" ht="15" hidden="false" customHeight="false" outlineLevel="0" collapsed="false">
      <c r="A101" s="17" t="n">
        <v>100</v>
      </c>
      <c r="B101" s="46" t="n">
        <v>45465</v>
      </c>
      <c r="C101" s="29"/>
      <c r="D101" s="4" t="s">
        <v>498</v>
      </c>
      <c r="E101" s="19" t="s">
        <v>499</v>
      </c>
      <c r="F101" s="51" t="n">
        <v>2</v>
      </c>
      <c r="G101" s="51" t="s">
        <v>500</v>
      </c>
      <c r="H101" s="47" t="n">
        <v>1500</v>
      </c>
      <c r="I101" s="47" t="n">
        <v>3000</v>
      </c>
      <c r="J101" s="47" t="n">
        <v>576</v>
      </c>
      <c r="K101" s="47" t="n">
        <v>200</v>
      </c>
      <c r="L101" s="47" t="n">
        <v>3776</v>
      </c>
      <c r="M101" s="29"/>
      <c r="N101" s="17" t="s">
        <v>687</v>
      </c>
      <c r="O101" s="44" t="s">
        <v>609</v>
      </c>
      <c r="P101" s="45"/>
      <c r="Q101" s="29"/>
    </row>
    <row r="102" customFormat="false" ht="15" hidden="false" customHeight="false" outlineLevel="0" collapsed="false">
      <c r="A102" s="17" t="n">
        <v>101</v>
      </c>
      <c r="B102" s="46" t="n">
        <v>45465</v>
      </c>
      <c r="C102" s="29"/>
      <c r="D102" s="4" t="s">
        <v>99</v>
      </c>
      <c r="E102" s="6" t="s">
        <v>101</v>
      </c>
      <c r="F102" s="51" t="n">
        <v>2</v>
      </c>
      <c r="G102" s="51" t="s">
        <v>500</v>
      </c>
      <c r="H102" s="47" t="n">
        <v>21920</v>
      </c>
      <c r="I102" s="47" t="n">
        <f aca="false">H102*F102</f>
        <v>43840</v>
      </c>
      <c r="J102" s="47" t="n">
        <f aca="false">0.18*I102</f>
        <v>7891.2</v>
      </c>
      <c r="K102" s="47" t="n">
        <v>150</v>
      </c>
      <c r="L102" s="47" t="n">
        <f aca="false">I102+J102+K102</f>
        <v>51881.2</v>
      </c>
      <c r="M102" s="29"/>
      <c r="N102" s="17" t="s">
        <v>651</v>
      </c>
      <c r="O102" s="44" t="s">
        <v>609</v>
      </c>
      <c r="P102" s="45"/>
      <c r="Q102" s="29"/>
    </row>
    <row r="103" customFormat="false" ht="15" hidden="false" customHeight="false" outlineLevel="0" collapsed="false">
      <c r="A103" s="17" t="n">
        <v>102</v>
      </c>
      <c r="B103" s="46" t="n">
        <v>45465</v>
      </c>
      <c r="C103" s="29"/>
      <c r="D103" s="4" t="s">
        <v>103</v>
      </c>
      <c r="E103" s="30" t="s">
        <v>617</v>
      </c>
      <c r="F103" s="51" t="n">
        <v>2</v>
      </c>
      <c r="G103" s="51" t="s">
        <v>500</v>
      </c>
      <c r="H103" s="47" t="n">
        <v>6300</v>
      </c>
      <c r="I103" s="47" t="n">
        <f aca="false">H103*F103</f>
        <v>12600</v>
      </c>
      <c r="J103" s="47" t="n">
        <f aca="false">0.18*I103</f>
        <v>2268</v>
      </c>
      <c r="K103" s="47" t="n">
        <v>150</v>
      </c>
      <c r="L103" s="47" t="n">
        <f aca="false">I103+J103+K103</f>
        <v>15018</v>
      </c>
      <c r="M103" s="29"/>
      <c r="N103" s="17" t="s">
        <v>651</v>
      </c>
      <c r="O103" s="44" t="s">
        <v>609</v>
      </c>
      <c r="P103" s="45"/>
      <c r="Q103" s="29"/>
    </row>
    <row r="104" customFormat="false" ht="15" hidden="false" customHeight="false" outlineLevel="0" collapsed="false">
      <c r="A104" s="17" t="n">
        <v>103</v>
      </c>
      <c r="B104" s="46" t="n">
        <v>45465</v>
      </c>
      <c r="C104" s="29"/>
      <c r="D104" s="4" t="s">
        <v>31</v>
      </c>
      <c r="E104" s="6" t="s">
        <v>688</v>
      </c>
      <c r="F104" s="51" t="n">
        <v>2</v>
      </c>
      <c r="G104" s="51" t="s">
        <v>23</v>
      </c>
      <c r="H104" s="47" t="n">
        <v>17500</v>
      </c>
      <c r="I104" s="47" t="n">
        <f aca="false">H104*F104</f>
        <v>35000</v>
      </c>
      <c r="J104" s="47" t="n">
        <f aca="false">0.18*I104</f>
        <v>6300</v>
      </c>
      <c r="K104" s="47" t="n">
        <v>0</v>
      </c>
      <c r="L104" s="47" t="n">
        <f aca="false">I104+J104+K104</f>
        <v>41300</v>
      </c>
      <c r="M104" s="29"/>
      <c r="N104" s="17" t="s">
        <v>651</v>
      </c>
      <c r="O104" s="44" t="s">
        <v>609</v>
      </c>
      <c r="P104" s="45"/>
      <c r="Q104" s="29"/>
    </row>
    <row r="105" customFormat="false" ht="15" hidden="false" customHeight="false" outlineLevel="0" collapsed="false">
      <c r="A105" s="17" t="n">
        <v>104</v>
      </c>
      <c r="B105" s="46" t="n">
        <v>45468</v>
      </c>
      <c r="C105" s="29"/>
      <c r="D105" s="4" t="s">
        <v>65</v>
      </c>
      <c r="E105" s="6" t="s">
        <v>689</v>
      </c>
      <c r="F105" s="51" t="n">
        <v>30</v>
      </c>
      <c r="G105" s="51" t="s">
        <v>64</v>
      </c>
      <c r="H105" s="47" t="n">
        <v>12</v>
      </c>
      <c r="I105" s="47" t="n">
        <f aca="false">H105*F105</f>
        <v>360</v>
      </c>
      <c r="J105" s="47" t="n">
        <v>0</v>
      </c>
      <c r="K105" s="47" t="n">
        <v>0</v>
      </c>
      <c r="L105" s="47" t="n">
        <f aca="false">I105+J105+K105</f>
        <v>360</v>
      </c>
      <c r="M105" s="29"/>
      <c r="N105" s="17" t="s">
        <v>635</v>
      </c>
      <c r="O105" s="44" t="s">
        <v>609</v>
      </c>
      <c r="P105" s="45"/>
      <c r="Q105" s="29"/>
    </row>
    <row r="106" customFormat="false" ht="15" hidden="false" customHeight="false" outlineLevel="0" collapsed="false">
      <c r="A106" s="17" t="n">
        <v>105</v>
      </c>
      <c r="B106" s="46" t="n">
        <v>45469</v>
      </c>
      <c r="C106" s="29"/>
      <c r="D106" s="4" t="s">
        <v>507</v>
      </c>
      <c r="E106" s="6" t="s">
        <v>508</v>
      </c>
      <c r="F106" s="51" t="n">
        <v>1</v>
      </c>
      <c r="G106" s="51" t="s">
        <v>690</v>
      </c>
      <c r="H106" s="47" t="n">
        <v>444</v>
      </c>
      <c r="I106" s="47" t="n">
        <f aca="false">H106*F106</f>
        <v>444</v>
      </c>
      <c r="J106" s="47" t="n">
        <v>0</v>
      </c>
      <c r="K106" s="47" t="n">
        <v>0</v>
      </c>
      <c r="L106" s="47" t="n">
        <f aca="false">I106+J106+K106</f>
        <v>444</v>
      </c>
      <c r="M106" s="29"/>
      <c r="N106" s="17" t="s">
        <v>635</v>
      </c>
      <c r="O106" s="44" t="s">
        <v>609</v>
      </c>
      <c r="P106" s="45"/>
      <c r="Q106" s="29"/>
    </row>
    <row r="107" customFormat="false" ht="15" hidden="false" customHeight="false" outlineLevel="0" collapsed="false">
      <c r="A107" s="17" t="n">
        <v>106</v>
      </c>
      <c r="B107" s="52" t="n">
        <v>45469</v>
      </c>
      <c r="C107" s="29"/>
      <c r="D107" s="4" t="s">
        <v>65</v>
      </c>
      <c r="E107" s="30" t="s">
        <v>691</v>
      </c>
      <c r="F107" s="51" t="n">
        <v>2</v>
      </c>
      <c r="G107" s="51" t="s">
        <v>692</v>
      </c>
      <c r="H107" s="47" t="n">
        <v>4300</v>
      </c>
      <c r="I107" s="47" t="n">
        <v>8600</v>
      </c>
      <c r="J107" s="47" t="n">
        <v>1548</v>
      </c>
      <c r="K107" s="47" t="n">
        <v>0</v>
      </c>
      <c r="L107" s="47" t="n">
        <v>10148</v>
      </c>
      <c r="M107" s="29"/>
      <c r="N107" s="17" t="s">
        <v>635</v>
      </c>
      <c r="O107" s="44" t="s">
        <v>609</v>
      </c>
      <c r="P107" s="45"/>
      <c r="Q107" s="29"/>
    </row>
    <row r="108" customFormat="false" ht="15" hidden="false" customHeight="false" outlineLevel="0" collapsed="false">
      <c r="A108" s="17" t="n">
        <v>107</v>
      </c>
      <c r="B108" s="52" t="n">
        <v>45469</v>
      </c>
      <c r="C108" s="29"/>
      <c r="D108" s="4" t="s">
        <v>65</v>
      </c>
      <c r="E108" s="30" t="s">
        <v>693</v>
      </c>
      <c r="F108" s="51" t="n">
        <v>4</v>
      </c>
      <c r="G108" s="51" t="s">
        <v>692</v>
      </c>
      <c r="H108" s="47" t="n">
        <v>1600</v>
      </c>
      <c r="I108" s="47" t="n">
        <v>6400</v>
      </c>
      <c r="J108" s="47" t="n">
        <v>1152</v>
      </c>
      <c r="K108" s="47" t="n">
        <v>0</v>
      </c>
      <c r="L108" s="47" t="n">
        <v>7552</v>
      </c>
      <c r="M108" s="29"/>
      <c r="N108" s="17" t="s">
        <v>635</v>
      </c>
      <c r="O108" s="44" t="s">
        <v>609</v>
      </c>
      <c r="P108" s="45"/>
      <c r="Q108" s="29"/>
    </row>
    <row r="109" customFormat="false" ht="15" hidden="false" customHeight="false" outlineLevel="0" collapsed="false">
      <c r="A109" s="17" t="n">
        <v>108</v>
      </c>
      <c r="B109" s="46" t="n">
        <v>45471</v>
      </c>
      <c r="C109" s="29"/>
      <c r="D109" s="4" t="s">
        <v>507</v>
      </c>
      <c r="E109" s="6" t="s">
        <v>508</v>
      </c>
      <c r="F109" s="51" t="n">
        <v>1</v>
      </c>
      <c r="G109" s="51" t="s">
        <v>479</v>
      </c>
      <c r="H109" s="47" t="n">
        <v>4009.82</v>
      </c>
      <c r="I109" s="47" t="n">
        <f aca="false">H109*F109</f>
        <v>4009.82</v>
      </c>
      <c r="J109" s="47" t="n">
        <f aca="false">0.12*I109</f>
        <v>481.1784</v>
      </c>
      <c r="K109" s="47" t="n">
        <v>0</v>
      </c>
      <c r="L109" s="47" t="n">
        <f aca="false">I109+J109+K109</f>
        <v>4490.9984</v>
      </c>
      <c r="M109" s="29"/>
      <c r="N109" s="17" t="s">
        <v>635</v>
      </c>
      <c r="O109" s="44" t="s">
        <v>609</v>
      </c>
      <c r="P109" s="45"/>
      <c r="Q109" s="29"/>
    </row>
    <row r="110" customFormat="false" ht="15" hidden="false" customHeight="false" outlineLevel="0" collapsed="false">
      <c r="A110" s="17" t="n">
        <v>109</v>
      </c>
      <c r="B110" s="46" t="n">
        <v>45472</v>
      </c>
      <c r="C110" s="29"/>
      <c r="D110" s="4" t="s">
        <v>511</v>
      </c>
      <c r="E110" s="29" t="s">
        <v>513</v>
      </c>
      <c r="F110" s="51" t="n">
        <v>4</v>
      </c>
      <c r="G110" s="51" t="s">
        <v>70</v>
      </c>
      <c r="H110" s="47" t="n">
        <v>58.47</v>
      </c>
      <c r="I110" s="47" t="n">
        <f aca="false">H110*F110</f>
        <v>233.88</v>
      </c>
      <c r="J110" s="47" t="n">
        <f aca="false">0.18*I110</f>
        <v>42.0984</v>
      </c>
      <c r="K110" s="47" t="n">
        <v>0</v>
      </c>
      <c r="L110" s="47" t="n">
        <f aca="false">I110+J110+K110</f>
        <v>275.9784</v>
      </c>
      <c r="M110" s="29"/>
      <c r="N110" s="17" t="s">
        <v>651</v>
      </c>
      <c r="O110" s="44" t="s">
        <v>609</v>
      </c>
      <c r="P110" s="45"/>
      <c r="Q110" s="29"/>
    </row>
    <row r="111" customFormat="false" ht="15" hidden="false" customHeight="false" outlineLevel="0" collapsed="false">
      <c r="A111" s="17" t="n">
        <v>110</v>
      </c>
      <c r="B111" s="46" t="n">
        <v>45472</v>
      </c>
      <c r="C111" s="29"/>
      <c r="D111" s="4" t="s">
        <v>447</v>
      </c>
      <c r="E111" s="6" t="s">
        <v>694</v>
      </c>
      <c r="F111" s="51" t="n">
        <v>5</v>
      </c>
      <c r="G111" s="51" t="s">
        <v>455</v>
      </c>
      <c r="H111" s="47" t="n">
        <v>370</v>
      </c>
      <c r="I111" s="47" t="n">
        <f aca="false">H111*F111</f>
        <v>1850</v>
      </c>
      <c r="J111" s="47" t="n">
        <f aca="false">0.18*I111</f>
        <v>333</v>
      </c>
      <c r="K111" s="47" t="n">
        <v>0</v>
      </c>
      <c r="L111" s="47" t="n">
        <f aca="false">I111+J111+K111</f>
        <v>2183</v>
      </c>
      <c r="M111" s="29"/>
      <c r="N111" s="17" t="s">
        <v>635</v>
      </c>
      <c r="O111" s="44" t="s">
        <v>609</v>
      </c>
      <c r="P111" s="45"/>
      <c r="Q111" s="29"/>
    </row>
    <row r="112" customFormat="false" ht="15" hidden="false" customHeight="false" outlineLevel="0" collapsed="false">
      <c r="A112" s="17" t="n">
        <v>111</v>
      </c>
      <c r="B112" s="46" t="n">
        <v>45472</v>
      </c>
      <c r="C112" s="29"/>
      <c r="D112" s="4" t="s">
        <v>447</v>
      </c>
      <c r="E112" s="6" t="s">
        <v>695</v>
      </c>
      <c r="F112" s="51" t="n">
        <v>5</v>
      </c>
      <c r="G112" s="51" t="s">
        <v>455</v>
      </c>
      <c r="H112" s="47" t="n">
        <v>370</v>
      </c>
      <c r="I112" s="47" t="n">
        <f aca="false">H112*F112</f>
        <v>1850</v>
      </c>
      <c r="J112" s="47" t="n">
        <f aca="false">0.18*I112</f>
        <v>333</v>
      </c>
      <c r="K112" s="47" t="n">
        <v>0</v>
      </c>
      <c r="L112" s="47" t="n">
        <f aca="false">I112+J112+K112</f>
        <v>2183</v>
      </c>
      <c r="M112" s="29"/>
      <c r="N112" s="17" t="s">
        <v>635</v>
      </c>
      <c r="O112" s="44" t="s">
        <v>609</v>
      </c>
      <c r="P112" s="45"/>
      <c r="Q112" s="29"/>
    </row>
    <row r="113" customFormat="false" ht="15" hidden="false" customHeight="false" outlineLevel="0" collapsed="false">
      <c r="A113" s="17" t="n">
        <v>112</v>
      </c>
      <c r="B113" s="46" t="n">
        <v>45472</v>
      </c>
      <c r="C113" s="29"/>
      <c r="D113" s="4" t="s">
        <v>509</v>
      </c>
      <c r="E113" s="6" t="s">
        <v>510</v>
      </c>
      <c r="F113" s="51" t="n">
        <v>5</v>
      </c>
      <c r="G113" s="51" t="s">
        <v>455</v>
      </c>
      <c r="H113" s="47" t="n">
        <v>385</v>
      </c>
      <c r="I113" s="47" t="n">
        <f aca="false">H113*F113</f>
        <v>1925</v>
      </c>
      <c r="J113" s="47" t="n">
        <f aca="false">0.18*I113</f>
        <v>346.5</v>
      </c>
      <c r="K113" s="47" t="n">
        <v>0</v>
      </c>
      <c r="L113" s="47" t="n">
        <f aca="false">I113+J113+K113</f>
        <v>2271.5</v>
      </c>
      <c r="M113" s="29"/>
      <c r="N113" s="17" t="s">
        <v>635</v>
      </c>
      <c r="O113" s="44" t="s">
        <v>609</v>
      </c>
      <c r="P113" s="45"/>
      <c r="Q113" s="29"/>
    </row>
    <row r="114" customFormat="false" ht="15" hidden="false" customHeight="false" outlineLevel="0" collapsed="false">
      <c r="A114" s="17" t="n">
        <v>113</v>
      </c>
      <c r="B114" s="46" t="n">
        <v>45474</v>
      </c>
      <c r="C114" s="29"/>
      <c r="D114" s="4" t="s">
        <v>514</v>
      </c>
      <c r="E114" s="6" t="s">
        <v>515</v>
      </c>
      <c r="F114" s="51" t="n">
        <v>3</v>
      </c>
      <c r="G114" s="51" t="s">
        <v>516</v>
      </c>
      <c r="H114" s="47" t="n">
        <v>75</v>
      </c>
      <c r="I114" s="47" t="n">
        <f aca="false">H114*F114</f>
        <v>225</v>
      </c>
      <c r="J114" s="47" t="n">
        <f aca="false">0.18*I114</f>
        <v>40.5</v>
      </c>
      <c r="K114" s="47" t="n">
        <v>0</v>
      </c>
      <c r="L114" s="47" t="n">
        <f aca="false">I114+J114+K114</f>
        <v>265.5</v>
      </c>
      <c r="M114" s="29"/>
      <c r="N114" s="17" t="s">
        <v>687</v>
      </c>
      <c r="O114" s="44" t="s">
        <v>609</v>
      </c>
      <c r="P114" s="45"/>
      <c r="Q114" s="29"/>
    </row>
    <row r="115" customFormat="false" ht="15" hidden="false" customHeight="false" outlineLevel="0" collapsed="false">
      <c r="A115" s="17" t="n">
        <v>114</v>
      </c>
      <c r="B115" s="46" t="n">
        <v>45474</v>
      </c>
      <c r="C115" s="29"/>
      <c r="D115" s="4" t="s">
        <v>488</v>
      </c>
      <c r="E115" s="6" t="s">
        <v>489</v>
      </c>
      <c r="F115" s="51" t="n">
        <v>2</v>
      </c>
      <c r="G115" s="51" t="s">
        <v>490</v>
      </c>
      <c r="H115" s="47" t="n">
        <v>350</v>
      </c>
      <c r="I115" s="47" t="n">
        <f aca="false">H115*F115</f>
        <v>700</v>
      </c>
      <c r="J115" s="47" t="n">
        <f aca="false">0.18*I115</f>
        <v>126</v>
      </c>
      <c r="K115" s="47" t="n">
        <v>0</v>
      </c>
      <c r="L115" s="47" t="n">
        <f aca="false">I115+J115+K115</f>
        <v>826</v>
      </c>
      <c r="M115" s="29"/>
      <c r="N115" s="17" t="s">
        <v>687</v>
      </c>
      <c r="O115" s="44" t="s">
        <v>609</v>
      </c>
      <c r="P115" s="45"/>
      <c r="Q115" s="29"/>
    </row>
    <row r="116" customFormat="false" ht="15" hidden="false" customHeight="false" outlineLevel="0" collapsed="false">
      <c r="A116" s="17" t="n">
        <v>115</v>
      </c>
      <c r="B116" s="46" t="n">
        <v>45477</v>
      </c>
      <c r="C116" s="29"/>
      <c r="D116" s="4" t="s">
        <v>517</v>
      </c>
      <c r="E116" s="6" t="s">
        <v>518</v>
      </c>
      <c r="F116" s="51" t="n">
        <v>1</v>
      </c>
      <c r="G116" s="51" t="s">
        <v>692</v>
      </c>
      <c r="H116" s="47" t="n">
        <v>6900</v>
      </c>
      <c r="I116" s="47" t="n">
        <f aca="false">H116*F116</f>
        <v>6900</v>
      </c>
      <c r="J116" s="47" t="n">
        <f aca="false">0.18*I116</f>
        <v>1242</v>
      </c>
      <c r="K116" s="47" t="n">
        <v>0</v>
      </c>
      <c r="L116" s="47" t="n">
        <f aca="false">I116+J116+K116</f>
        <v>8142</v>
      </c>
      <c r="M116" s="29"/>
      <c r="N116" s="17" t="s">
        <v>635</v>
      </c>
      <c r="O116" s="44" t="s">
        <v>609</v>
      </c>
      <c r="P116" s="45"/>
      <c r="Q116" s="29"/>
    </row>
    <row r="117" customFormat="false" ht="15" hidden="false" customHeight="false" outlineLevel="0" collapsed="false">
      <c r="A117" s="17" t="n">
        <v>116</v>
      </c>
      <c r="B117" s="46" t="n">
        <v>45478</v>
      </c>
      <c r="C117" s="29"/>
      <c r="D117" s="4" t="s">
        <v>95</v>
      </c>
      <c r="E117" s="6" t="s">
        <v>696</v>
      </c>
      <c r="F117" s="51" t="n">
        <v>1</v>
      </c>
      <c r="G117" s="51" t="s">
        <v>98</v>
      </c>
      <c r="H117" s="47" t="n">
        <v>1081</v>
      </c>
      <c r="I117" s="47" t="n">
        <f aca="false">H117*F117</f>
        <v>1081</v>
      </c>
      <c r="J117" s="47" t="n">
        <f aca="false">0.12*I117</f>
        <v>129.72</v>
      </c>
      <c r="K117" s="47" t="n">
        <v>0</v>
      </c>
      <c r="L117" s="47" t="n">
        <f aca="false">I117+J117+K117</f>
        <v>1210.72</v>
      </c>
      <c r="M117" s="29"/>
      <c r="N117" s="17" t="s">
        <v>697</v>
      </c>
      <c r="O117" s="44" t="s">
        <v>609</v>
      </c>
      <c r="P117" s="45"/>
      <c r="Q117" s="29"/>
    </row>
    <row r="118" customFormat="false" ht="15" hidden="false" customHeight="false" outlineLevel="0" collapsed="false">
      <c r="A118" s="17" t="n">
        <v>117</v>
      </c>
      <c r="B118" s="46" t="n">
        <v>45478</v>
      </c>
      <c r="C118" s="29"/>
      <c r="D118" s="4" t="s">
        <v>95</v>
      </c>
      <c r="E118" s="6" t="s">
        <v>698</v>
      </c>
      <c r="F118" s="51" t="n">
        <v>1</v>
      </c>
      <c r="G118" s="51" t="s">
        <v>98</v>
      </c>
      <c r="H118" s="47" t="n">
        <v>1650</v>
      </c>
      <c r="I118" s="47" t="n">
        <f aca="false">H118*F118</f>
        <v>1650</v>
      </c>
      <c r="J118" s="47" t="n">
        <f aca="false">0.12*I118</f>
        <v>198</v>
      </c>
      <c r="K118" s="47" t="n">
        <v>0</v>
      </c>
      <c r="L118" s="47" t="n">
        <f aca="false">I118+J118+K118</f>
        <v>1848</v>
      </c>
      <c r="M118" s="29"/>
      <c r="N118" s="17" t="s">
        <v>697</v>
      </c>
      <c r="O118" s="44" t="s">
        <v>609</v>
      </c>
      <c r="P118" s="45"/>
      <c r="Q118" s="29"/>
    </row>
    <row r="119" customFormat="false" ht="15" hidden="false" customHeight="false" outlineLevel="0" collapsed="false">
      <c r="A119" s="17" t="n">
        <v>118</v>
      </c>
      <c r="B119" s="46" t="n">
        <v>45478</v>
      </c>
      <c r="C119" s="29"/>
      <c r="D119" s="4" t="s">
        <v>95</v>
      </c>
      <c r="E119" s="6" t="s">
        <v>699</v>
      </c>
      <c r="F119" s="51" t="n">
        <v>1</v>
      </c>
      <c r="G119" s="51" t="s">
        <v>98</v>
      </c>
      <c r="H119" s="47" t="n">
        <v>1281</v>
      </c>
      <c r="I119" s="47" t="n">
        <f aca="false">H119*F119</f>
        <v>1281</v>
      </c>
      <c r="J119" s="47" t="n">
        <f aca="false">0.12*I119</f>
        <v>153.72</v>
      </c>
      <c r="K119" s="47" t="n">
        <v>0</v>
      </c>
      <c r="L119" s="47" t="n">
        <f aca="false">I119+J119+K119</f>
        <v>1434.72</v>
      </c>
      <c r="M119" s="29"/>
      <c r="N119" s="17" t="s">
        <v>697</v>
      </c>
      <c r="O119" s="44" t="s">
        <v>609</v>
      </c>
      <c r="P119" s="45"/>
      <c r="Q119" s="29"/>
    </row>
    <row r="120" customFormat="false" ht="15" hidden="false" customHeight="false" outlineLevel="0" collapsed="false">
      <c r="A120" s="17" t="n">
        <v>119</v>
      </c>
      <c r="B120" s="46" t="n">
        <v>45478</v>
      </c>
      <c r="C120" s="29"/>
      <c r="D120" s="4" t="s">
        <v>520</v>
      </c>
      <c r="E120" s="29" t="s">
        <v>521</v>
      </c>
      <c r="F120" s="51" t="n">
        <v>4</v>
      </c>
      <c r="G120" s="51" t="s">
        <v>108</v>
      </c>
      <c r="H120" s="47" t="n">
        <v>102</v>
      </c>
      <c r="I120" s="47" t="n">
        <f aca="false">H120*F120</f>
        <v>408</v>
      </c>
      <c r="J120" s="47" t="n">
        <f aca="false">0.18*I120</f>
        <v>73.44</v>
      </c>
      <c r="K120" s="47" t="n">
        <v>0</v>
      </c>
      <c r="L120" s="47" t="n">
        <f aca="false">I120+J120+K120</f>
        <v>481.44</v>
      </c>
      <c r="M120" s="29"/>
      <c r="N120" s="17" t="s">
        <v>697</v>
      </c>
      <c r="O120" s="44" t="s">
        <v>609</v>
      </c>
      <c r="P120" s="45"/>
      <c r="Q120" s="29"/>
    </row>
    <row r="121" customFormat="false" ht="15" hidden="false" customHeight="false" outlineLevel="0" collapsed="false">
      <c r="A121" s="17" t="n">
        <v>120</v>
      </c>
      <c r="B121" s="46" t="n">
        <v>45478</v>
      </c>
      <c r="C121" s="29"/>
      <c r="D121" s="4" t="s">
        <v>103</v>
      </c>
      <c r="E121" s="29" t="s">
        <v>700</v>
      </c>
      <c r="F121" s="51" t="n">
        <v>4</v>
      </c>
      <c r="G121" s="51" t="s">
        <v>102</v>
      </c>
      <c r="H121" s="47" t="n">
        <v>820</v>
      </c>
      <c r="I121" s="47" t="n">
        <f aca="false">H121*F121</f>
        <v>3280</v>
      </c>
      <c r="J121" s="47" t="n">
        <f aca="false">0.18*I121</f>
        <v>590.4</v>
      </c>
      <c r="K121" s="47" t="n">
        <v>0</v>
      </c>
      <c r="L121" s="47" t="n">
        <f aca="false">I121+J121+K121</f>
        <v>3870.4</v>
      </c>
      <c r="M121" s="29"/>
      <c r="N121" s="17" t="s">
        <v>697</v>
      </c>
      <c r="O121" s="44" t="s">
        <v>609</v>
      </c>
      <c r="P121" s="45"/>
      <c r="Q121" s="29"/>
    </row>
    <row r="122" customFormat="false" ht="15" hidden="false" customHeight="false" outlineLevel="0" collapsed="false">
      <c r="A122" s="17" t="n">
        <v>121</v>
      </c>
      <c r="B122" s="46" t="n">
        <v>45478</v>
      </c>
      <c r="C122" s="29"/>
      <c r="D122" s="4" t="s">
        <v>103</v>
      </c>
      <c r="E122" s="29" t="s">
        <v>701</v>
      </c>
      <c r="F122" s="51" t="n">
        <v>1</v>
      </c>
      <c r="G122" s="51" t="s">
        <v>102</v>
      </c>
      <c r="H122" s="47" t="n">
        <v>1750.7</v>
      </c>
      <c r="I122" s="47" t="n">
        <f aca="false">H122*F122</f>
        <v>1750.7</v>
      </c>
      <c r="J122" s="47" t="n">
        <f aca="false">0.18*I122</f>
        <v>315.126</v>
      </c>
      <c r="K122" s="47" t="n">
        <v>0</v>
      </c>
      <c r="L122" s="47" t="n">
        <f aca="false">I122+J122+K122</f>
        <v>2065.826</v>
      </c>
      <c r="M122" s="29"/>
      <c r="N122" s="17" t="s">
        <v>697</v>
      </c>
      <c r="O122" s="44" t="s">
        <v>609</v>
      </c>
      <c r="P122" s="45"/>
      <c r="Q122" s="29"/>
    </row>
    <row r="123" customFormat="false" ht="15" hidden="false" customHeight="false" outlineLevel="0" collapsed="false">
      <c r="A123" s="17" t="n">
        <v>122</v>
      </c>
      <c r="B123" s="46" t="n">
        <v>45478</v>
      </c>
      <c r="C123" s="29"/>
      <c r="D123" s="4" t="s">
        <v>103</v>
      </c>
      <c r="E123" s="29" t="s">
        <v>702</v>
      </c>
      <c r="F123" s="51" t="n">
        <v>1</v>
      </c>
      <c r="G123" s="51" t="s">
        <v>102</v>
      </c>
      <c r="H123" s="47" t="n">
        <v>1980.3</v>
      </c>
      <c r="I123" s="47" t="n">
        <f aca="false">H123*F123</f>
        <v>1980.3</v>
      </c>
      <c r="J123" s="47" t="n">
        <f aca="false">0.18*I123</f>
        <v>356.454</v>
      </c>
      <c r="K123" s="47" t="n">
        <v>0</v>
      </c>
      <c r="L123" s="47" t="n">
        <f aca="false">I123+J123+K123</f>
        <v>2336.754</v>
      </c>
      <c r="M123" s="29"/>
      <c r="N123" s="17" t="s">
        <v>697</v>
      </c>
      <c r="O123" s="44" t="s">
        <v>609</v>
      </c>
      <c r="P123" s="45"/>
      <c r="Q123" s="29"/>
    </row>
    <row r="124" customFormat="false" ht="15" hidden="false" customHeight="false" outlineLevel="0" collapsed="false">
      <c r="A124" s="17" t="n">
        <v>123</v>
      </c>
      <c r="B124" s="46" t="n">
        <v>45478</v>
      </c>
      <c r="C124" s="29"/>
      <c r="D124" s="4" t="s">
        <v>103</v>
      </c>
      <c r="E124" s="29" t="s">
        <v>703</v>
      </c>
      <c r="F124" s="51" t="n">
        <v>4</v>
      </c>
      <c r="G124" s="51" t="s">
        <v>102</v>
      </c>
      <c r="H124" s="47" t="n">
        <v>422.3</v>
      </c>
      <c r="I124" s="47" t="n">
        <f aca="false">H124*F124</f>
        <v>1689.2</v>
      </c>
      <c r="J124" s="47" t="n">
        <f aca="false">0.18*I124</f>
        <v>304.056</v>
      </c>
      <c r="K124" s="47" t="n">
        <v>0</v>
      </c>
      <c r="L124" s="47" t="n">
        <f aca="false">I124+J124+K124</f>
        <v>1993.256</v>
      </c>
      <c r="M124" s="29"/>
      <c r="N124" s="17" t="s">
        <v>697</v>
      </c>
      <c r="O124" s="44" t="s">
        <v>609</v>
      </c>
      <c r="P124" s="45"/>
      <c r="Q124" s="29"/>
    </row>
    <row r="125" customFormat="false" ht="15" hidden="false" customHeight="false" outlineLevel="0" collapsed="false">
      <c r="A125" s="17" t="n">
        <v>124</v>
      </c>
      <c r="B125" s="46" t="n">
        <v>45478</v>
      </c>
      <c r="C125" s="29"/>
      <c r="D125" s="4" t="s">
        <v>103</v>
      </c>
      <c r="E125" s="29" t="s">
        <v>704</v>
      </c>
      <c r="F125" s="51" t="n">
        <v>6</v>
      </c>
      <c r="G125" s="51" t="s">
        <v>500</v>
      </c>
      <c r="H125" s="47" t="n">
        <v>795</v>
      </c>
      <c r="I125" s="47" t="n">
        <f aca="false">H125*F125</f>
        <v>4770</v>
      </c>
      <c r="J125" s="47" t="n">
        <f aca="false">0.18*I125</f>
        <v>858.6</v>
      </c>
      <c r="K125" s="47" t="n">
        <v>0</v>
      </c>
      <c r="L125" s="47" t="n">
        <f aca="false">I125+J125+K125</f>
        <v>5628.6</v>
      </c>
      <c r="M125" s="29"/>
      <c r="N125" s="17" t="s">
        <v>697</v>
      </c>
      <c r="O125" s="44" t="s">
        <v>609</v>
      </c>
      <c r="P125" s="45"/>
      <c r="Q125" s="29"/>
    </row>
    <row r="126" customFormat="false" ht="15" hidden="false" customHeight="false" outlineLevel="0" collapsed="false">
      <c r="A126" s="17" t="n">
        <v>125</v>
      </c>
      <c r="B126" s="46" t="n">
        <v>45478</v>
      </c>
      <c r="C126" s="29"/>
      <c r="D126" s="4" t="s">
        <v>522</v>
      </c>
      <c r="E126" s="29" t="s">
        <v>523</v>
      </c>
      <c r="F126" s="51" t="n">
        <v>4</v>
      </c>
      <c r="G126" s="51" t="s">
        <v>23</v>
      </c>
      <c r="H126" s="47" t="n">
        <v>5500</v>
      </c>
      <c r="I126" s="47" t="n">
        <f aca="false">H126*F126</f>
        <v>22000</v>
      </c>
      <c r="J126" s="47" t="n">
        <f aca="false">0.18*I126</f>
        <v>3960</v>
      </c>
      <c r="K126" s="47" t="n">
        <v>0</v>
      </c>
      <c r="L126" s="47" t="n">
        <f aca="false">I126+J126+K126</f>
        <v>25960</v>
      </c>
      <c r="M126" s="29"/>
      <c r="N126" s="17" t="s">
        <v>697</v>
      </c>
      <c r="O126" s="44" t="s">
        <v>609</v>
      </c>
      <c r="P126" s="45"/>
      <c r="Q126" s="29"/>
    </row>
    <row r="127" customFormat="false" ht="15" hidden="false" customHeight="false" outlineLevel="0" collapsed="false">
      <c r="A127" s="17" t="n">
        <v>126</v>
      </c>
      <c r="B127" s="46" t="n">
        <v>45478</v>
      </c>
      <c r="C127" s="29"/>
      <c r="D127" s="4" t="s">
        <v>524</v>
      </c>
      <c r="E127" s="29" t="s">
        <v>525</v>
      </c>
      <c r="F127" s="51" t="n">
        <v>1</v>
      </c>
      <c r="G127" s="51" t="s">
        <v>23</v>
      </c>
      <c r="H127" s="47" t="n">
        <v>5400</v>
      </c>
      <c r="I127" s="47" t="n">
        <f aca="false">H127*F127</f>
        <v>5400</v>
      </c>
      <c r="J127" s="47" t="n">
        <f aca="false">0.18*I127</f>
        <v>972</v>
      </c>
      <c r="K127" s="47" t="n">
        <v>0</v>
      </c>
      <c r="L127" s="47" t="n">
        <f aca="false">I127+J127+K127</f>
        <v>6372</v>
      </c>
      <c r="M127" s="29"/>
      <c r="N127" s="17" t="s">
        <v>697</v>
      </c>
      <c r="O127" s="44" t="s">
        <v>609</v>
      </c>
      <c r="P127" s="45"/>
      <c r="Q127" s="29"/>
    </row>
    <row r="128" customFormat="false" ht="15" hidden="false" customHeight="false" outlineLevel="0" collapsed="false">
      <c r="A128" s="17" t="n">
        <v>127</v>
      </c>
      <c r="B128" s="46" t="n">
        <v>45478</v>
      </c>
      <c r="C128" s="29"/>
      <c r="D128" s="4" t="s">
        <v>526</v>
      </c>
      <c r="E128" s="29" t="s">
        <v>528</v>
      </c>
      <c r="F128" s="51" t="n">
        <v>2</v>
      </c>
      <c r="G128" s="51" t="s">
        <v>38</v>
      </c>
      <c r="H128" s="47" t="n">
        <v>3395</v>
      </c>
      <c r="I128" s="47" t="n">
        <f aca="false">H128*F128</f>
        <v>6790</v>
      </c>
      <c r="J128" s="47" t="n">
        <f aca="false">0.18*I128</f>
        <v>1222.2</v>
      </c>
      <c r="K128" s="47" t="n">
        <v>0</v>
      </c>
      <c r="L128" s="47" t="n">
        <f aca="false">I128+J128+K128</f>
        <v>8012.2</v>
      </c>
      <c r="M128" s="29"/>
      <c r="N128" s="17" t="s">
        <v>697</v>
      </c>
      <c r="O128" s="44" t="s">
        <v>609</v>
      </c>
      <c r="P128" s="45"/>
      <c r="Q128" s="29"/>
    </row>
    <row r="129" customFormat="false" ht="15" hidden="false" customHeight="false" outlineLevel="0" collapsed="false">
      <c r="A129" s="17" t="n">
        <v>128</v>
      </c>
      <c r="B129" s="46" t="n">
        <v>45478</v>
      </c>
      <c r="C129" s="29"/>
      <c r="D129" s="4" t="s">
        <v>529</v>
      </c>
      <c r="E129" s="29" t="s">
        <v>530</v>
      </c>
      <c r="F129" s="51" t="n">
        <v>3</v>
      </c>
      <c r="G129" s="51" t="s">
        <v>38</v>
      </c>
      <c r="H129" s="47" t="n">
        <v>1775</v>
      </c>
      <c r="I129" s="47" t="n">
        <f aca="false">H129*F129</f>
        <v>5325</v>
      </c>
      <c r="J129" s="47" t="n">
        <f aca="false">0.18*I129</f>
        <v>958.5</v>
      </c>
      <c r="K129" s="47" t="n">
        <v>0</v>
      </c>
      <c r="L129" s="47" t="n">
        <f aca="false">I129+J129+K129</f>
        <v>6283.5</v>
      </c>
      <c r="M129" s="29"/>
      <c r="N129" s="17" t="s">
        <v>697</v>
      </c>
      <c r="O129" s="44" t="s">
        <v>609</v>
      </c>
      <c r="P129" s="45"/>
      <c r="Q129" s="29"/>
    </row>
    <row r="130" customFormat="false" ht="15" hidden="false" customHeight="false" outlineLevel="0" collapsed="false">
      <c r="A130" s="17" t="n">
        <v>129</v>
      </c>
      <c r="B130" s="46" t="n">
        <v>45478</v>
      </c>
      <c r="C130" s="29"/>
      <c r="D130" s="4" t="s">
        <v>531</v>
      </c>
      <c r="E130" s="29" t="s">
        <v>532</v>
      </c>
      <c r="F130" s="51" t="n">
        <v>3</v>
      </c>
      <c r="G130" s="51" t="s">
        <v>23</v>
      </c>
      <c r="H130" s="47" t="n">
        <v>17650</v>
      </c>
      <c r="I130" s="47" t="n">
        <f aca="false">H130*F130</f>
        <v>52950</v>
      </c>
      <c r="J130" s="47" t="n">
        <f aca="false">0.18*I130</f>
        <v>9531</v>
      </c>
      <c r="K130" s="47" t="n">
        <v>0</v>
      </c>
      <c r="L130" s="47" t="n">
        <f aca="false">I130+J130+K130</f>
        <v>62481</v>
      </c>
      <c r="M130" s="29"/>
      <c r="N130" s="17" t="s">
        <v>697</v>
      </c>
      <c r="O130" s="44" t="s">
        <v>609</v>
      </c>
      <c r="P130" s="45"/>
      <c r="Q130" s="29"/>
    </row>
    <row r="131" customFormat="false" ht="15" hidden="false" customHeight="false" outlineLevel="0" collapsed="false">
      <c r="A131" s="17" t="n">
        <v>130</v>
      </c>
      <c r="B131" s="46" t="n">
        <v>45479</v>
      </c>
      <c r="C131" s="29"/>
      <c r="D131" s="4" t="s">
        <v>533</v>
      </c>
      <c r="E131" s="29" t="s">
        <v>534</v>
      </c>
      <c r="F131" s="51" t="n">
        <v>1</v>
      </c>
      <c r="G131" s="51" t="s">
        <v>108</v>
      </c>
      <c r="H131" s="47" t="n">
        <v>1944</v>
      </c>
      <c r="I131" s="47" t="n">
        <f aca="false">H131*F131</f>
        <v>1944</v>
      </c>
      <c r="J131" s="47" t="n">
        <f aca="false">0.18*I131</f>
        <v>349.92</v>
      </c>
      <c r="K131" s="47" t="n">
        <v>156</v>
      </c>
      <c r="L131" s="47" t="n">
        <f aca="false">I131+J131+K131</f>
        <v>2449.92</v>
      </c>
      <c r="M131" s="29"/>
      <c r="N131" s="17" t="s">
        <v>697</v>
      </c>
      <c r="O131" s="44" t="s">
        <v>609</v>
      </c>
      <c r="P131" s="45"/>
      <c r="Q131" s="29"/>
    </row>
    <row r="132" customFormat="false" ht="15" hidden="false" customHeight="false" outlineLevel="0" collapsed="false">
      <c r="A132" s="17" t="n">
        <v>131</v>
      </c>
      <c r="B132" s="46" t="n">
        <v>45479</v>
      </c>
      <c r="C132" s="29"/>
      <c r="D132" s="4" t="s">
        <v>535</v>
      </c>
      <c r="E132" s="29" t="s">
        <v>536</v>
      </c>
      <c r="F132" s="51" t="n">
        <v>3</v>
      </c>
      <c r="G132" s="51" t="s">
        <v>70</v>
      </c>
      <c r="H132" s="47" t="n">
        <v>273.66</v>
      </c>
      <c r="I132" s="47" t="n">
        <f aca="false">H132*F132</f>
        <v>820.98</v>
      </c>
      <c r="J132" s="47" t="n">
        <f aca="false">0.18*I132</f>
        <v>147.7764</v>
      </c>
      <c r="K132" s="47" t="n">
        <v>49</v>
      </c>
      <c r="L132" s="47" t="n">
        <f aca="false">I132+J132+K132</f>
        <v>1017.7564</v>
      </c>
      <c r="M132" s="29"/>
      <c r="N132" s="17" t="s">
        <v>697</v>
      </c>
      <c r="O132" s="44" t="s">
        <v>609</v>
      </c>
      <c r="P132" s="45"/>
      <c r="Q132" s="29"/>
    </row>
    <row r="133" customFormat="false" ht="15" hidden="false" customHeight="false" outlineLevel="0" collapsed="false">
      <c r="A133" s="17" t="n">
        <v>132</v>
      </c>
      <c r="B133" s="46" t="n">
        <v>45479</v>
      </c>
      <c r="C133" s="29"/>
      <c r="D133" s="4" t="s">
        <v>95</v>
      </c>
      <c r="E133" s="29" t="s">
        <v>705</v>
      </c>
      <c r="F133" s="51" t="n">
        <v>1</v>
      </c>
      <c r="G133" s="51" t="s">
        <v>98</v>
      </c>
      <c r="H133" s="47" t="n">
        <v>1039</v>
      </c>
      <c r="I133" s="47" t="n">
        <f aca="false">H133*F133</f>
        <v>1039</v>
      </c>
      <c r="J133" s="47" t="n">
        <f aca="false">0.12*I133</f>
        <v>124.68</v>
      </c>
      <c r="K133" s="47" t="n">
        <v>0</v>
      </c>
      <c r="L133" s="47" t="n">
        <f aca="false">I133+J133+K133</f>
        <v>1163.68</v>
      </c>
      <c r="M133" s="29"/>
      <c r="N133" s="17" t="s">
        <v>697</v>
      </c>
      <c r="O133" s="44" t="s">
        <v>609</v>
      </c>
      <c r="P133" s="45"/>
      <c r="Q133" s="29"/>
    </row>
    <row r="134" customFormat="false" ht="15" hidden="false" customHeight="false" outlineLevel="0" collapsed="false">
      <c r="A134" s="17" t="n">
        <v>133</v>
      </c>
      <c r="B134" s="46" t="n">
        <v>45479</v>
      </c>
      <c r="C134" s="29"/>
      <c r="D134" s="4" t="s">
        <v>95</v>
      </c>
      <c r="E134" s="29" t="s">
        <v>706</v>
      </c>
      <c r="F134" s="51" t="n">
        <v>1</v>
      </c>
      <c r="G134" s="51" t="s">
        <v>98</v>
      </c>
      <c r="H134" s="47" t="n">
        <v>475</v>
      </c>
      <c r="I134" s="47" t="n">
        <f aca="false">H134*F134</f>
        <v>475</v>
      </c>
      <c r="J134" s="47" t="n">
        <f aca="false">0.12*I134</f>
        <v>57</v>
      </c>
      <c r="K134" s="47" t="n">
        <v>0</v>
      </c>
      <c r="L134" s="47" t="n">
        <f aca="false">I134+J134+K134</f>
        <v>532</v>
      </c>
      <c r="M134" s="29"/>
      <c r="N134" s="17" t="s">
        <v>697</v>
      </c>
      <c r="O134" s="44" t="s">
        <v>609</v>
      </c>
      <c r="P134" s="45"/>
      <c r="Q134" s="29"/>
    </row>
    <row r="135" customFormat="false" ht="15" hidden="false" customHeight="false" outlineLevel="0" collapsed="false">
      <c r="A135" s="17" t="n">
        <v>134</v>
      </c>
      <c r="B135" s="46" t="n">
        <v>45481</v>
      </c>
      <c r="C135" s="29"/>
      <c r="D135" s="4" t="s">
        <v>103</v>
      </c>
      <c r="E135" s="29" t="s">
        <v>707</v>
      </c>
      <c r="F135" s="51" t="n">
        <v>1</v>
      </c>
      <c r="G135" s="51" t="s">
        <v>102</v>
      </c>
      <c r="H135" s="47" t="n">
        <v>2231.7</v>
      </c>
      <c r="I135" s="47" t="n">
        <f aca="false">H135*F135</f>
        <v>2231.7</v>
      </c>
      <c r="J135" s="47" t="n">
        <f aca="false">0.18*I135</f>
        <v>401.706</v>
      </c>
      <c r="K135" s="47" t="n">
        <v>0</v>
      </c>
      <c r="L135" s="47" t="n">
        <f aca="false">I135+J135+K135</f>
        <v>2633.406</v>
      </c>
      <c r="M135" s="29"/>
      <c r="N135" s="17" t="s">
        <v>697</v>
      </c>
      <c r="O135" s="44" t="s">
        <v>609</v>
      </c>
      <c r="P135" s="45"/>
      <c r="Q135" s="29"/>
    </row>
    <row r="136" customFormat="false" ht="15" hidden="false" customHeight="false" outlineLevel="0" collapsed="false">
      <c r="A136" s="17" t="n">
        <v>135</v>
      </c>
      <c r="B136" s="46" t="n">
        <v>45481</v>
      </c>
      <c r="C136" s="29"/>
      <c r="D136" s="4" t="s">
        <v>103</v>
      </c>
      <c r="E136" s="29" t="s">
        <v>708</v>
      </c>
      <c r="F136" s="51" t="n">
        <v>1</v>
      </c>
      <c r="G136" s="51" t="s">
        <v>102</v>
      </c>
      <c r="H136" s="47" t="n">
        <v>2739.1</v>
      </c>
      <c r="I136" s="47" t="n">
        <f aca="false">H136*F136</f>
        <v>2739.1</v>
      </c>
      <c r="J136" s="47" t="n">
        <f aca="false">0.18*I136</f>
        <v>493.038</v>
      </c>
      <c r="K136" s="47" t="n">
        <v>0</v>
      </c>
      <c r="L136" s="47" t="n">
        <f aca="false">I136+J136+K136</f>
        <v>3232.138</v>
      </c>
      <c r="M136" s="29"/>
      <c r="N136" s="17" t="s">
        <v>697</v>
      </c>
      <c r="O136" s="44" t="s">
        <v>609</v>
      </c>
      <c r="P136" s="45"/>
      <c r="Q136" s="29"/>
    </row>
    <row r="137" customFormat="false" ht="15" hidden="false" customHeight="false" outlineLevel="0" collapsed="false">
      <c r="A137" s="17" t="n">
        <v>136</v>
      </c>
      <c r="B137" s="46" t="n">
        <v>45481</v>
      </c>
      <c r="C137" s="29"/>
      <c r="D137" s="4" t="s">
        <v>430</v>
      </c>
      <c r="E137" s="29" t="s">
        <v>709</v>
      </c>
      <c r="F137" s="51" t="n">
        <v>12</v>
      </c>
      <c r="G137" s="51" t="s">
        <v>455</v>
      </c>
      <c r="H137" s="47" t="n">
        <v>560</v>
      </c>
      <c r="I137" s="47" t="n">
        <f aca="false">H137*F137</f>
        <v>6720</v>
      </c>
      <c r="J137" s="47" t="n">
        <f aca="false">0.05*I137</f>
        <v>336</v>
      </c>
      <c r="K137" s="47" t="n">
        <v>0</v>
      </c>
      <c r="L137" s="47" t="n">
        <f aca="false">I137+J137+K137</f>
        <v>7056</v>
      </c>
      <c r="M137" s="29"/>
      <c r="N137" s="17" t="s">
        <v>687</v>
      </c>
      <c r="O137" s="44" t="s">
        <v>609</v>
      </c>
      <c r="P137" s="45"/>
      <c r="Q137" s="29"/>
    </row>
    <row r="138" customFormat="false" ht="15" hidden="false" customHeight="false" outlineLevel="0" collapsed="false">
      <c r="A138" s="17" t="n">
        <v>137</v>
      </c>
      <c r="B138" s="46" t="n">
        <v>45482</v>
      </c>
      <c r="C138" s="29"/>
      <c r="D138" s="4" t="s">
        <v>537</v>
      </c>
      <c r="E138" s="29" t="s">
        <v>539</v>
      </c>
      <c r="F138" s="51" t="n">
        <v>1</v>
      </c>
      <c r="G138" s="51" t="s">
        <v>612</v>
      </c>
      <c r="H138" s="14" t="n">
        <v>33000</v>
      </c>
      <c r="I138" s="47" t="n">
        <f aca="false">H138*F138</f>
        <v>33000</v>
      </c>
      <c r="J138" s="47" t="n">
        <f aca="false">0.18*I138</f>
        <v>5940</v>
      </c>
      <c r="K138" s="47" t="n">
        <v>0</v>
      </c>
      <c r="L138" s="47" t="n">
        <f aca="false">I138+J138+K138</f>
        <v>38940</v>
      </c>
      <c r="M138" s="29"/>
      <c r="N138" s="17" t="s">
        <v>697</v>
      </c>
      <c r="O138" s="44" t="s">
        <v>609</v>
      </c>
      <c r="P138" s="45"/>
      <c r="Q138" s="29"/>
    </row>
    <row r="139" customFormat="false" ht="15" hidden="false" customHeight="false" outlineLevel="0" collapsed="false">
      <c r="A139" s="17" t="n">
        <v>138</v>
      </c>
      <c r="B139" s="46" t="n">
        <v>45483</v>
      </c>
      <c r="C139" s="29"/>
      <c r="D139" s="4" t="s">
        <v>95</v>
      </c>
      <c r="E139" s="29" t="s">
        <v>710</v>
      </c>
      <c r="F139" s="51" t="n">
        <v>1</v>
      </c>
      <c r="G139" s="51" t="s">
        <v>98</v>
      </c>
      <c r="H139" s="47" t="n">
        <v>961</v>
      </c>
      <c r="I139" s="47" t="n">
        <f aca="false">H139*F139</f>
        <v>961</v>
      </c>
      <c r="J139" s="47" t="n">
        <f aca="false">0.12*I139</f>
        <v>115.32</v>
      </c>
      <c r="K139" s="47" t="n">
        <v>0</v>
      </c>
      <c r="L139" s="47" t="n">
        <f aca="false">I139+J139+K139</f>
        <v>1076.32</v>
      </c>
      <c r="M139" s="29"/>
      <c r="N139" s="17" t="s">
        <v>697</v>
      </c>
      <c r="O139" s="44" t="s">
        <v>609</v>
      </c>
      <c r="P139" s="45"/>
      <c r="Q139" s="29"/>
    </row>
    <row r="140" customFormat="false" ht="15" hidden="false" customHeight="false" outlineLevel="0" collapsed="false">
      <c r="A140" s="17" t="n">
        <v>139</v>
      </c>
      <c r="B140" s="46" t="n">
        <v>45484</v>
      </c>
      <c r="C140" s="29"/>
      <c r="D140" s="4" t="s">
        <v>541</v>
      </c>
      <c r="E140" s="29" t="s">
        <v>543</v>
      </c>
      <c r="F140" s="51" t="n">
        <v>2</v>
      </c>
      <c r="G140" s="51" t="s">
        <v>23</v>
      </c>
      <c r="H140" s="47" t="n">
        <v>5600</v>
      </c>
      <c r="I140" s="47" t="n">
        <f aca="false">H140*F140</f>
        <v>11200</v>
      </c>
      <c r="J140" s="47" t="n">
        <f aca="false">0.18*I140</f>
        <v>2016</v>
      </c>
      <c r="K140" s="47" t="n">
        <v>0</v>
      </c>
      <c r="L140" s="47" t="n">
        <f aca="false">I140+J140+K140</f>
        <v>13216</v>
      </c>
      <c r="M140" s="29"/>
      <c r="N140" s="17" t="s">
        <v>697</v>
      </c>
      <c r="O140" s="44" t="s">
        <v>609</v>
      </c>
      <c r="P140" s="45"/>
      <c r="Q140" s="29"/>
    </row>
    <row r="141" customFormat="false" ht="15" hidden="false" customHeight="false" outlineLevel="0" collapsed="false">
      <c r="A141" s="17" t="n">
        <v>140</v>
      </c>
      <c r="B141" s="46" t="n">
        <v>45484</v>
      </c>
      <c r="C141" s="29"/>
      <c r="D141" s="4" t="s">
        <v>544</v>
      </c>
      <c r="E141" s="29" t="s">
        <v>545</v>
      </c>
      <c r="F141" s="51" t="n">
        <v>1</v>
      </c>
      <c r="G141" s="51" t="s">
        <v>23</v>
      </c>
      <c r="H141" s="47" t="n">
        <v>4800</v>
      </c>
      <c r="I141" s="47" t="n">
        <f aca="false">H141*F141</f>
        <v>4800</v>
      </c>
      <c r="J141" s="47" t="n">
        <f aca="false">0.18*I141</f>
        <v>864</v>
      </c>
      <c r="K141" s="47" t="n">
        <v>0</v>
      </c>
      <c r="L141" s="47" t="n">
        <f aca="false">I141+J141+K141</f>
        <v>5664</v>
      </c>
      <c r="M141" s="29"/>
      <c r="N141" s="17" t="s">
        <v>697</v>
      </c>
      <c r="O141" s="44" t="s">
        <v>609</v>
      </c>
      <c r="P141" s="45"/>
      <c r="Q141" s="29"/>
    </row>
    <row r="142" customFormat="false" ht="15" hidden="false" customHeight="false" outlineLevel="0" collapsed="false">
      <c r="A142" s="17" t="n">
        <v>141</v>
      </c>
      <c r="B142" s="46" t="n">
        <v>45484</v>
      </c>
      <c r="C142" s="29"/>
      <c r="D142" s="4" t="s">
        <v>546</v>
      </c>
      <c r="E142" s="29" t="s">
        <v>547</v>
      </c>
      <c r="F142" s="51" t="n">
        <v>1</v>
      </c>
      <c r="G142" s="51" t="s">
        <v>23</v>
      </c>
      <c r="H142" s="47" t="n">
        <v>35000</v>
      </c>
      <c r="I142" s="47" t="n">
        <f aca="false">H142*F142</f>
        <v>35000</v>
      </c>
      <c r="J142" s="47" t="n">
        <f aca="false">0.18*I142</f>
        <v>6300</v>
      </c>
      <c r="K142" s="47" t="n">
        <v>0</v>
      </c>
      <c r="L142" s="47" t="n">
        <f aca="false">I142+J142+K142</f>
        <v>41300</v>
      </c>
      <c r="M142" s="29"/>
      <c r="N142" s="17" t="s">
        <v>697</v>
      </c>
      <c r="O142" s="44" t="s">
        <v>609</v>
      </c>
      <c r="P142" s="45"/>
      <c r="Q142" s="29"/>
    </row>
    <row r="143" customFormat="false" ht="15" hidden="false" customHeight="false" outlineLevel="0" collapsed="false">
      <c r="A143" s="17" t="n">
        <v>142</v>
      </c>
      <c r="B143" s="46" t="n">
        <v>45485</v>
      </c>
      <c r="C143" s="29"/>
      <c r="D143" s="4" t="s">
        <v>103</v>
      </c>
      <c r="E143" s="29" t="s">
        <v>707</v>
      </c>
      <c r="F143" s="51" t="n">
        <v>1</v>
      </c>
      <c r="G143" s="51" t="s">
        <v>102</v>
      </c>
      <c r="H143" s="47" t="n">
        <v>2231.7</v>
      </c>
      <c r="I143" s="47" t="n">
        <f aca="false">H143*F143</f>
        <v>2231.7</v>
      </c>
      <c r="J143" s="47" t="n">
        <f aca="false">0.18*I143</f>
        <v>401.706</v>
      </c>
      <c r="K143" s="47" t="n">
        <v>0</v>
      </c>
      <c r="L143" s="47" t="n">
        <f aca="false">I143+J143+K143</f>
        <v>2633.406</v>
      </c>
      <c r="M143" s="29"/>
      <c r="N143" s="17" t="s">
        <v>697</v>
      </c>
      <c r="O143" s="44" t="s">
        <v>609</v>
      </c>
      <c r="P143" s="45"/>
      <c r="Q143" s="29"/>
    </row>
    <row r="144" customFormat="false" ht="15" hidden="false" customHeight="false" outlineLevel="0" collapsed="false">
      <c r="A144" s="17" t="n">
        <v>143</v>
      </c>
      <c r="B144" s="46" t="n">
        <v>45485</v>
      </c>
      <c r="C144" s="29"/>
      <c r="D144" s="4" t="s">
        <v>103</v>
      </c>
      <c r="E144" s="29" t="s">
        <v>711</v>
      </c>
      <c r="F144" s="51" t="n">
        <v>3</v>
      </c>
      <c r="G144" s="51" t="s">
        <v>102</v>
      </c>
      <c r="H144" s="47" t="n">
        <v>614.9</v>
      </c>
      <c r="I144" s="47" t="n">
        <f aca="false">H144*F144</f>
        <v>1844.7</v>
      </c>
      <c r="J144" s="47" t="n">
        <f aca="false">0.18*I144</f>
        <v>332.046</v>
      </c>
      <c r="K144" s="47" t="n">
        <v>0</v>
      </c>
      <c r="L144" s="47" t="n">
        <f aca="false">I144+J144+K144</f>
        <v>2176.746</v>
      </c>
      <c r="M144" s="29"/>
      <c r="N144" s="17" t="s">
        <v>697</v>
      </c>
      <c r="O144" s="44" t="s">
        <v>609</v>
      </c>
      <c r="P144" s="45"/>
      <c r="Q144" s="29"/>
    </row>
    <row r="145" customFormat="false" ht="15" hidden="false" customHeight="false" outlineLevel="0" collapsed="false">
      <c r="A145" s="17" t="n">
        <v>144</v>
      </c>
      <c r="B145" s="46" t="n">
        <v>45489</v>
      </c>
      <c r="C145" s="29"/>
      <c r="D145" s="4" t="s">
        <v>103</v>
      </c>
      <c r="E145" s="29" t="s">
        <v>712</v>
      </c>
      <c r="F145" s="51" t="n">
        <v>6</v>
      </c>
      <c r="G145" s="29"/>
      <c r="H145" s="29"/>
      <c r="I145" s="29"/>
      <c r="J145" s="29"/>
      <c r="K145" s="29"/>
      <c r="L145" s="29"/>
      <c r="M145" s="29"/>
      <c r="N145" s="17" t="s">
        <v>697</v>
      </c>
      <c r="O145" s="17" t="s">
        <v>632</v>
      </c>
      <c r="P145" s="45"/>
      <c r="Q145" s="29"/>
    </row>
    <row r="146" customFormat="false" ht="15" hidden="false" customHeight="false" outlineLevel="0" collapsed="false">
      <c r="A146" s="17" t="n">
        <v>145</v>
      </c>
      <c r="B146" s="46" t="n">
        <v>45492</v>
      </c>
      <c r="C146" s="29"/>
      <c r="D146" s="4" t="s">
        <v>95</v>
      </c>
      <c r="E146" s="29" t="s">
        <v>713</v>
      </c>
      <c r="F146" s="51" t="n">
        <v>1</v>
      </c>
      <c r="G146" s="51" t="s">
        <v>98</v>
      </c>
      <c r="H146" s="47" t="n">
        <v>539</v>
      </c>
      <c r="I146" s="47" t="n">
        <f aca="false">H146*F146</f>
        <v>539</v>
      </c>
      <c r="J146" s="47" t="n">
        <f aca="false">0.12*I146</f>
        <v>64.68</v>
      </c>
      <c r="K146" s="47" t="n">
        <v>0</v>
      </c>
      <c r="L146" s="47" t="n">
        <f aca="false">I146+J146+K146</f>
        <v>603.68</v>
      </c>
      <c r="M146" s="29"/>
      <c r="N146" s="17" t="s">
        <v>697</v>
      </c>
      <c r="O146" s="44" t="s">
        <v>609</v>
      </c>
      <c r="P146" s="45"/>
      <c r="Q146" s="29"/>
    </row>
    <row r="147" customFormat="false" ht="15" hidden="false" customHeight="false" outlineLevel="0" collapsed="false">
      <c r="A147" s="17" t="n">
        <v>146</v>
      </c>
      <c r="B147" s="46" t="n">
        <v>45492</v>
      </c>
      <c r="C147" s="29"/>
      <c r="D147" s="4" t="s">
        <v>95</v>
      </c>
      <c r="E147" s="29" t="s">
        <v>714</v>
      </c>
      <c r="F147" s="51" t="n">
        <v>1</v>
      </c>
      <c r="G147" s="51" t="s">
        <v>98</v>
      </c>
      <c r="H147" s="47" t="n">
        <v>446</v>
      </c>
      <c r="I147" s="47" t="n">
        <f aca="false">H147*F147</f>
        <v>446</v>
      </c>
      <c r="J147" s="47" t="n">
        <f aca="false">0.12*I147</f>
        <v>53.52</v>
      </c>
      <c r="K147" s="47" t="n">
        <v>0</v>
      </c>
      <c r="L147" s="47" t="n">
        <f aca="false">I147+J147+K147</f>
        <v>499.52</v>
      </c>
      <c r="M147" s="29"/>
      <c r="N147" s="17" t="s">
        <v>697</v>
      </c>
      <c r="O147" s="44" t="s">
        <v>609</v>
      </c>
      <c r="P147" s="45"/>
      <c r="Q147" s="29"/>
    </row>
    <row r="148" customFormat="false" ht="15" hidden="false" customHeight="false" outlineLevel="0" collapsed="false">
      <c r="A148" s="17" t="n">
        <v>147</v>
      </c>
      <c r="B148" s="46" t="n">
        <v>45493</v>
      </c>
      <c r="C148" s="29"/>
      <c r="D148" s="4" t="s">
        <v>95</v>
      </c>
      <c r="E148" s="29" t="s">
        <v>715</v>
      </c>
      <c r="F148" s="51" t="n">
        <v>2</v>
      </c>
      <c r="G148" s="51" t="s">
        <v>98</v>
      </c>
      <c r="H148" s="47" t="n">
        <v>316</v>
      </c>
      <c r="I148" s="47" t="n">
        <f aca="false">H148*F148</f>
        <v>632</v>
      </c>
      <c r="J148" s="47" t="n">
        <f aca="false">0.12*I148</f>
        <v>75.84</v>
      </c>
      <c r="K148" s="47" t="n">
        <v>0</v>
      </c>
      <c r="L148" s="47" t="n">
        <f aca="false">I148+J148+K148</f>
        <v>707.84</v>
      </c>
      <c r="M148" s="29"/>
      <c r="N148" s="17" t="s">
        <v>697</v>
      </c>
      <c r="O148" s="44" t="s">
        <v>609</v>
      </c>
      <c r="P148" s="45"/>
      <c r="Q148" s="29"/>
    </row>
    <row r="149" customFormat="false" ht="15" hidden="false" customHeight="false" outlineLevel="0" collapsed="false">
      <c r="A149" s="17" t="n">
        <v>148</v>
      </c>
      <c r="B149" s="46" t="n">
        <v>45493</v>
      </c>
      <c r="C149" s="29"/>
      <c r="D149" s="4" t="s">
        <v>95</v>
      </c>
      <c r="E149" s="29" t="s">
        <v>716</v>
      </c>
      <c r="F149" s="51" t="n">
        <v>2</v>
      </c>
      <c r="G149" s="51" t="s">
        <v>98</v>
      </c>
      <c r="H149" s="47" t="n">
        <v>245</v>
      </c>
      <c r="I149" s="47" t="n">
        <f aca="false">H149*F149</f>
        <v>490</v>
      </c>
      <c r="J149" s="47" t="n">
        <f aca="false">0.12*I149</f>
        <v>58.8</v>
      </c>
      <c r="K149" s="47" t="n">
        <v>0</v>
      </c>
      <c r="L149" s="47" t="n">
        <f aca="false">I149+J149+K149</f>
        <v>548.8</v>
      </c>
      <c r="M149" s="29"/>
      <c r="N149" s="17" t="s">
        <v>697</v>
      </c>
      <c r="O149" s="44" t="s">
        <v>609</v>
      </c>
      <c r="P149" s="45"/>
      <c r="Q149" s="29"/>
    </row>
    <row r="150" customFormat="false" ht="15" hidden="false" customHeight="false" outlineLevel="0" collapsed="false">
      <c r="A150" s="17" t="n">
        <v>149</v>
      </c>
      <c r="B150" s="46" t="n">
        <v>45493</v>
      </c>
      <c r="C150" s="29"/>
      <c r="D150" s="4" t="s">
        <v>95</v>
      </c>
      <c r="E150" s="29" t="s">
        <v>717</v>
      </c>
      <c r="F150" s="51" t="n">
        <v>2</v>
      </c>
      <c r="G150" s="51" t="s">
        <v>98</v>
      </c>
      <c r="H150" s="47" t="n">
        <v>287</v>
      </c>
      <c r="I150" s="47" t="n">
        <f aca="false">H150*F150</f>
        <v>574</v>
      </c>
      <c r="J150" s="47" t="n">
        <f aca="false">0.12*I150</f>
        <v>68.88</v>
      </c>
      <c r="K150" s="47" t="n">
        <v>0</v>
      </c>
      <c r="L150" s="47" t="n">
        <f aca="false">I150+J150+K150</f>
        <v>642.88</v>
      </c>
      <c r="M150" s="29"/>
      <c r="N150" s="17" t="s">
        <v>697</v>
      </c>
      <c r="O150" s="44" t="s">
        <v>609</v>
      </c>
      <c r="P150" s="45"/>
      <c r="Q150" s="29"/>
    </row>
    <row r="151" customFormat="false" ht="15" hidden="false" customHeight="false" outlineLevel="0" collapsed="false">
      <c r="A151" s="17" t="n">
        <v>150</v>
      </c>
      <c r="B151" s="46" t="n">
        <v>45495</v>
      </c>
      <c r="C151" s="29"/>
      <c r="D151" s="4" t="s">
        <v>95</v>
      </c>
      <c r="E151" s="29" t="s">
        <v>718</v>
      </c>
      <c r="F151" s="51" t="n">
        <v>2</v>
      </c>
      <c r="G151" s="51" t="s">
        <v>98</v>
      </c>
      <c r="H151" s="47" t="n">
        <v>529</v>
      </c>
      <c r="I151" s="47" t="n">
        <f aca="false">H151*F151</f>
        <v>1058</v>
      </c>
      <c r="J151" s="47" t="n">
        <f aca="false">0.12*I151</f>
        <v>126.96</v>
      </c>
      <c r="K151" s="47" t="n">
        <v>0</v>
      </c>
      <c r="L151" s="47" t="n">
        <f aca="false">I151+J151+K151</f>
        <v>1184.96</v>
      </c>
      <c r="M151" s="29"/>
      <c r="N151" s="17" t="s">
        <v>719</v>
      </c>
      <c r="O151" s="44" t="s">
        <v>609</v>
      </c>
      <c r="P151" s="45"/>
      <c r="Q151" s="29"/>
    </row>
    <row r="152" customFormat="false" ht="15" hidden="false" customHeight="false" outlineLevel="0" collapsed="false">
      <c r="A152" s="17" t="n">
        <v>151</v>
      </c>
      <c r="B152" s="46" t="n">
        <v>45495</v>
      </c>
      <c r="C152" s="29"/>
      <c r="D152" s="4" t="s">
        <v>460</v>
      </c>
      <c r="E152" s="29" t="s">
        <v>461</v>
      </c>
      <c r="F152" s="51" t="n">
        <v>2</v>
      </c>
      <c r="G152" s="51" t="s">
        <v>245</v>
      </c>
      <c r="H152" s="47" t="n">
        <v>3900</v>
      </c>
      <c r="I152" s="47" t="n">
        <f aca="false">H152*F152</f>
        <v>7800</v>
      </c>
      <c r="J152" s="47" t="n">
        <f aca="false">0.05*I152</f>
        <v>390</v>
      </c>
      <c r="K152" s="47" t="n">
        <v>0</v>
      </c>
      <c r="L152" s="47" t="n">
        <f aca="false">I152+J152+K152</f>
        <v>8190</v>
      </c>
      <c r="M152" s="29"/>
      <c r="N152" s="17" t="s">
        <v>719</v>
      </c>
      <c r="O152" s="44" t="s">
        <v>609</v>
      </c>
      <c r="P152" s="45"/>
      <c r="Q152" s="29"/>
    </row>
    <row r="153" customFormat="false" ht="15" hidden="false" customHeight="false" outlineLevel="0" collapsed="false">
      <c r="A153" s="17" t="n">
        <v>152</v>
      </c>
      <c r="B153" s="46" t="n">
        <v>45495</v>
      </c>
      <c r="C153" s="29"/>
      <c r="D153" s="4" t="s">
        <v>462</v>
      </c>
      <c r="E153" s="29" t="s">
        <v>463</v>
      </c>
      <c r="F153" s="51" t="n">
        <v>2</v>
      </c>
      <c r="G153" s="51" t="s">
        <v>245</v>
      </c>
      <c r="H153" s="47" t="n">
        <v>500</v>
      </c>
      <c r="I153" s="47" t="n">
        <f aca="false">H153*F153</f>
        <v>1000</v>
      </c>
      <c r="J153" s="47" t="n">
        <f aca="false">0.05*I153</f>
        <v>50</v>
      </c>
      <c r="K153" s="47" t="n">
        <v>0</v>
      </c>
      <c r="L153" s="47" t="n">
        <f aca="false">I153+J153+K153</f>
        <v>1050</v>
      </c>
      <c r="M153" s="29"/>
      <c r="N153" s="17" t="s">
        <v>719</v>
      </c>
      <c r="O153" s="44" t="s">
        <v>609</v>
      </c>
      <c r="P153" s="45"/>
      <c r="Q153" s="29"/>
    </row>
    <row r="154" customFormat="false" ht="15" hidden="false" customHeight="false" outlineLevel="0" collapsed="false">
      <c r="A154" s="17" t="n">
        <v>153</v>
      </c>
      <c r="B154" s="46" t="n">
        <v>45495</v>
      </c>
      <c r="C154" s="29"/>
      <c r="D154" s="4" t="s">
        <v>443</v>
      </c>
      <c r="E154" s="29" t="s">
        <v>444</v>
      </c>
      <c r="F154" s="51" t="n">
        <v>2</v>
      </c>
      <c r="G154" s="51" t="s">
        <v>245</v>
      </c>
      <c r="H154" s="47" t="n">
        <v>4420</v>
      </c>
      <c r="I154" s="47" t="n">
        <f aca="false">H154*F154</f>
        <v>8840</v>
      </c>
      <c r="J154" s="47" t="n">
        <f aca="false">0.05*I154</f>
        <v>442</v>
      </c>
      <c r="K154" s="47" t="n">
        <v>0</v>
      </c>
      <c r="L154" s="47" t="n">
        <f aca="false">I154+J154+K154</f>
        <v>9282</v>
      </c>
      <c r="M154" s="29"/>
      <c r="N154" s="17" t="s">
        <v>719</v>
      </c>
      <c r="O154" s="44" t="s">
        <v>609</v>
      </c>
      <c r="P154" s="45"/>
      <c r="Q154" s="29"/>
    </row>
    <row r="155" customFormat="false" ht="15" hidden="false" customHeight="false" outlineLevel="0" collapsed="false">
      <c r="A155" s="17" t="n">
        <v>154</v>
      </c>
      <c r="B155" s="46" t="n">
        <v>45495</v>
      </c>
      <c r="C155" s="29"/>
      <c r="D155" s="4" t="s">
        <v>548</v>
      </c>
      <c r="E155" s="29" t="s">
        <v>550</v>
      </c>
      <c r="F155" s="51" t="n">
        <v>2</v>
      </c>
      <c r="G155" s="51" t="s">
        <v>612</v>
      </c>
      <c r="H155" s="47" t="n">
        <v>74000</v>
      </c>
      <c r="I155" s="47" t="n">
        <f aca="false">H155*F155</f>
        <v>148000</v>
      </c>
      <c r="J155" s="47" t="n">
        <f aca="false">0.18*I155</f>
        <v>26640</v>
      </c>
      <c r="K155" s="47" t="n">
        <v>0</v>
      </c>
      <c r="L155" s="47" t="n">
        <f aca="false">I155+J155+K155</f>
        <v>174640</v>
      </c>
      <c r="M155" s="29"/>
      <c r="N155" s="17" t="s">
        <v>719</v>
      </c>
      <c r="O155" s="44" t="s">
        <v>609</v>
      </c>
      <c r="P155" s="45"/>
      <c r="Q155" s="29"/>
    </row>
    <row r="156" customFormat="false" ht="15" hidden="false" customHeight="false" outlineLevel="0" collapsed="false">
      <c r="A156" s="17" t="n">
        <v>155</v>
      </c>
      <c r="B156" s="46" t="n">
        <v>45495</v>
      </c>
      <c r="C156" s="29"/>
      <c r="D156" s="4" t="s">
        <v>551</v>
      </c>
      <c r="E156" s="29" t="s">
        <v>720</v>
      </c>
      <c r="F156" s="51" t="n">
        <v>1</v>
      </c>
      <c r="G156" s="51" t="s">
        <v>455</v>
      </c>
      <c r="H156" s="47" t="n">
        <v>42855</v>
      </c>
      <c r="I156" s="47" t="n">
        <f aca="false">H156*F156</f>
        <v>42855</v>
      </c>
      <c r="J156" s="47" t="n">
        <f aca="false">0.05*I156</f>
        <v>2142.75</v>
      </c>
      <c r="K156" s="47" t="n">
        <v>0</v>
      </c>
      <c r="L156" s="47" t="n">
        <f aca="false">I156+J156+K156</f>
        <v>44997.75</v>
      </c>
      <c r="M156" s="29"/>
      <c r="N156" s="17" t="s">
        <v>719</v>
      </c>
      <c r="O156" s="44" t="s">
        <v>609</v>
      </c>
      <c r="P156" s="45"/>
      <c r="Q156" s="29"/>
    </row>
    <row r="157" customFormat="false" ht="15" hidden="false" customHeight="false" outlineLevel="0" collapsed="false">
      <c r="A157" s="17" t="n">
        <v>156</v>
      </c>
      <c r="B157" s="46" t="n">
        <v>45495</v>
      </c>
      <c r="C157" s="29"/>
      <c r="D157" s="4" t="s">
        <v>50</v>
      </c>
      <c r="E157" s="10" t="s">
        <v>51</v>
      </c>
      <c r="F157" s="51" t="n">
        <v>2</v>
      </c>
      <c r="G157" s="51" t="s">
        <v>671</v>
      </c>
      <c r="H157" s="47" t="n">
        <v>11836</v>
      </c>
      <c r="I157" s="47" t="n">
        <f aca="false">H157*F157</f>
        <v>23672</v>
      </c>
      <c r="J157" s="47" t="n">
        <f aca="false">0.18*I157</f>
        <v>4260.96</v>
      </c>
      <c r="K157" s="47" t="n">
        <v>0</v>
      </c>
      <c r="L157" s="47" t="n">
        <f aca="false">I157+J157+K157</f>
        <v>27932.96</v>
      </c>
      <c r="M157" s="29"/>
      <c r="N157" s="17" t="s">
        <v>719</v>
      </c>
      <c r="O157" s="44" t="s">
        <v>609</v>
      </c>
      <c r="P157" s="45"/>
      <c r="Q157" s="29"/>
    </row>
    <row r="158" customFormat="false" ht="15" hidden="false" customHeight="false" outlineLevel="0" collapsed="false">
      <c r="A158" s="35" t="n">
        <v>157</v>
      </c>
      <c r="B158" s="53" t="n">
        <v>45496</v>
      </c>
      <c r="C158" s="42"/>
      <c r="D158" s="54" t="s">
        <v>551</v>
      </c>
      <c r="E158" s="42" t="s">
        <v>552</v>
      </c>
      <c r="F158" s="55" t="n">
        <v>1</v>
      </c>
      <c r="G158" s="55" t="s">
        <v>70</v>
      </c>
      <c r="H158" s="56" t="n">
        <v>6822.03</v>
      </c>
      <c r="I158" s="56" t="n">
        <f aca="false">H158*F158</f>
        <v>6822.03</v>
      </c>
      <c r="J158" s="56" t="n">
        <f aca="false">0.18*I158</f>
        <v>1227.9654</v>
      </c>
      <c r="K158" s="56" t="n">
        <v>66.67</v>
      </c>
      <c r="L158" s="56" t="n">
        <f aca="false">I158+J158+K158</f>
        <v>8116.6654</v>
      </c>
      <c r="M158" s="42"/>
      <c r="N158" s="35" t="s">
        <v>721</v>
      </c>
      <c r="O158" s="40" t="s">
        <v>609</v>
      </c>
      <c r="P158" s="41" t="s">
        <v>722</v>
      </c>
      <c r="Q158" s="42"/>
    </row>
    <row r="159" customFormat="false" ht="15" hidden="false" customHeight="false" outlineLevel="0" collapsed="false">
      <c r="A159" s="17" t="n">
        <v>158</v>
      </c>
      <c r="B159" s="46" t="n">
        <v>45496</v>
      </c>
      <c r="C159" s="29"/>
      <c r="D159" s="4" t="s">
        <v>723</v>
      </c>
      <c r="E159" s="29" t="s">
        <v>553</v>
      </c>
      <c r="F159" s="51" t="n">
        <v>1</v>
      </c>
      <c r="G159" s="51" t="s">
        <v>70</v>
      </c>
      <c r="H159" s="47" t="n">
        <v>2377.12</v>
      </c>
      <c r="I159" s="47" t="n">
        <f aca="false">H159*F159</f>
        <v>2377.12</v>
      </c>
      <c r="J159" s="47" t="n">
        <f aca="false">0.18*I159</f>
        <v>427.8816</v>
      </c>
      <c r="K159" s="47" t="n">
        <v>66.67</v>
      </c>
      <c r="L159" s="47" t="n">
        <f aca="false">I159+J159+K159</f>
        <v>2871.6716</v>
      </c>
      <c r="M159" s="29"/>
      <c r="N159" s="17" t="s">
        <v>721</v>
      </c>
      <c r="O159" s="44" t="s">
        <v>609</v>
      </c>
      <c r="P159" s="45" t="s">
        <v>722</v>
      </c>
      <c r="Q159" s="29"/>
    </row>
    <row r="160" customFormat="false" ht="15" hidden="false" customHeight="false" outlineLevel="0" collapsed="false">
      <c r="A160" s="17" t="n">
        <v>159</v>
      </c>
      <c r="B160" s="46" t="n">
        <v>45496</v>
      </c>
      <c r="C160" s="29"/>
      <c r="D160" s="4" t="s">
        <v>554</v>
      </c>
      <c r="E160" s="29" t="s">
        <v>555</v>
      </c>
      <c r="F160" s="51" t="n">
        <v>1</v>
      </c>
      <c r="G160" s="51" t="s">
        <v>70</v>
      </c>
      <c r="H160" s="47" t="n">
        <v>7500</v>
      </c>
      <c r="I160" s="47" t="n">
        <f aca="false">H160*F160</f>
        <v>7500</v>
      </c>
      <c r="J160" s="47" t="n">
        <f aca="false">0.18*I160</f>
        <v>1350</v>
      </c>
      <c r="K160" s="47" t="n">
        <v>66.67</v>
      </c>
      <c r="L160" s="47" t="n">
        <f aca="false">I160+J160+K160</f>
        <v>8916.67</v>
      </c>
      <c r="M160" s="29"/>
      <c r="N160" s="17" t="s">
        <v>608</v>
      </c>
      <c r="O160" s="44" t="s">
        <v>609</v>
      </c>
      <c r="P160" s="45" t="s">
        <v>722</v>
      </c>
      <c r="Q160" s="29"/>
    </row>
    <row r="161" customFormat="false" ht="15" hidden="false" customHeight="false" outlineLevel="0" collapsed="false">
      <c r="A161" s="17" t="n">
        <v>160</v>
      </c>
      <c r="B161" s="46" t="n">
        <v>45496</v>
      </c>
      <c r="C161" s="29"/>
      <c r="D161" s="4" t="s">
        <v>556</v>
      </c>
      <c r="E161" s="29" t="s">
        <v>557</v>
      </c>
      <c r="F161" s="51" t="n">
        <v>1</v>
      </c>
      <c r="G161" s="51" t="s">
        <v>420</v>
      </c>
      <c r="H161" s="47" t="n">
        <v>6799</v>
      </c>
      <c r="I161" s="47" t="n">
        <f aca="false">H161*F161</f>
        <v>6799</v>
      </c>
      <c r="J161" s="47" t="n">
        <v>0</v>
      </c>
      <c r="K161" s="47" t="n">
        <v>0</v>
      </c>
      <c r="L161" s="47" t="n">
        <f aca="false">I161+J161+K161</f>
        <v>6799</v>
      </c>
      <c r="M161" s="29"/>
      <c r="N161" s="17" t="s">
        <v>608</v>
      </c>
      <c r="O161" s="44" t="s">
        <v>609</v>
      </c>
      <c r="P161" s="45"/>
      <c r="Q161" s="29"/>
    </row>
    <row r="162" customFormat="false" ht="15" hidden="false" customHeight="false" outlineLevel="0" collapsed="false">
      <c r="A162" s="17" t="n">
        <v>161</v>
      </c>
      <c r="B162" s="46" t="n">
        <v>45496</v>
      </c>
      <c r="C162" s="29"/>
      <c r="D162" s="4" t="s">
        <v>558</v>
      </c>
      <c r="E162" s="29" t="s">
        <v>559</v>
      </c>
      <c r="F162" s="51" t="n">
        <v>2</v>
      </c>
      <c r="G162" s="51" t="s">
        <v>57</v>
      </c>
      <c r="H162" s="47" t="n">
        <v>1525.415</v>
      </c>
      <c r="I162" s="47" t="n">
        <f aca="false">H162*F162</f>
        <v>3050.83</v>
      </c>
      <c r="J162" s="47" t="n">
        <f aca="false">0.18*I162</f>
        <v>549.1494</v>
      </c>
      <c r="K162" s="47" t="n">
        <v>0</v>
      </c>
      <c r="L162" s="47" t="n">
        <f aca="false">I162+J162+K162</f>
        <v>3599.9794</v>
      </c>
      <c r="M162" s="29"/>
      <c r="N162" s="17" t="s">
        <v>721</v>
      </c>
      <c r="O162" s="44" t="s">
        <v>609</v>
      </c>
      <c r="P162" s="45"/>
      <c r="Q162" s="29"/>
    </row>
    <row r="163" customFormat="false" ht="15" hidden="false" customHeight="false" outlineLevel="0" collapsed="false">
      <c r="A163" s="17" t="n">
        <v>162</v>
      </c>
      <c r="B163" s="46" t="n">
        <v>45496</v>
      </c>
      <c r="C163" s="29"/>
      <c r="D163" s="4" t="s">
        <v>560</v>
      </c>
      <c r="E163" s="29" t="s">
        <v>561</v>
      </c>
      <c r="F163" s="51" t="n">
        <v>2</v>
      </c>
      <c r="G163" s="51" t="s">
        <v>57</v>
      </c>
      <c r="H163" s="47" t="n">
        <v>4915.246</v>
      </c>
      <c r="I163" s="47" t="n">
        <f aca="false">H163*F163</f>
        <v>9830.492</v>
      </c>
      <c r="J163" s="47" t="n">
        <f aca="false">0.18*I163</f>
        <v>1769.48856</v>
      </c>
      <c r="K163" s="47" t="n">
        <v>0</v>
      </c>
      <c r="L163" s="47" t="n">
        <f aca="false">I163+J163+K163</f>
        <v>11599.98056</v>
      </c>
      <c r="M163" s="29"/>
      <c r="N163" s="17" t="s">
        <v>721</v>
      </c>
      <c r="O163" s="17" t="s">
        <v>632</v>
      </c>
      <c r="P163" s="45"/>
      <c r="Q163" s="17" t="s">
        <v>724</v>
      </c>
    </row>
    <row r="164" customFormat="false" ht="15" hidden="false" customHeight="false" outlineLevel="0" collapsed="false">
      <c r="A164" s="17" t="n">
        <v>163</v>
      </c>
      <c r="B164" s="46" t="n">
        <v>45496</v>
      </c>
      <c r="C164" s="29"/>
      <c r="D164" s="4" t="s">
        <v>562</v>
      </c>
      <c r="E164" s="29" t="s">
        <v>563</v>
      </c>
      <c r="F164" s="51" t="n">
        <v>10</v>
      </c>
      <c r="G164" s="51" t="s">
        <v>84</v>
      </c>
      <c r="H164" s="47" t="n">
        <v>19085.05</v>
      </c>
      <c r="I164" s="47" t="n">
        <f aca="false">H164*F164</f>
        <v>190850.5</v>
      </c>
      <c r="J164" s="47" t="n">
        <v>0</v>
      </c>
      <c r="K164" s="47" t="n">
        <v>0</v>
      </c>
      <c r="L164" s="47" t="n">
        <f aca="false">I164+J164+K164</f>
        <v>190850.5</v>
      </c>
      <c r="M164" s="29"/>
      <c r="N164" s="17" t="s">
        <v>719</v>
      </c>
      <c r="O164" s="50" t="s">
        <v>646</v>
      </c>
      <c r="P164" s="57"/>
      <c r="Q164" s="29"/>
    </row>
    <row r="165" customFormat="false" ht="15" hidden="false" customHeight="false" outlineLevel="0" collapsed="false">
      <c r="A165" s="17" t="n">
        <v>164</v>
      </c>
      <c r="B165" s="46" t="n">
        <v>45496</v>
      </c>
      <c r="C165" s="29"/>
      <c r="D165" s="4" t="s">
        <v>564</v>
      </c>
      <c r="E165" s="29" t="s">
        <v>565</v>
      </c>
      <c r="F165" s="51" t="n">
        <v>10</v>
      </c>
      <c r="G165" s="51" t="s">
        <v>84</v>
      </c>
      <c r="H165" s="47" t="n">
        <v>7449.87</v>
      </c>
      <c r="I165" s="47" t="n">
        <f aca="false">H165*F165</f>
        <v>74498.7</v>
      </c>
      <c r="J165" s="47" t="n">
        <v>0</v>
      </c>
      <c r="K165" s="47" t="n">
        <v>0</v>
      </c>
      <c r="L165" s="47" t="n">
        <f aca="false">I165+J165+K165</f>
        <v>74498.7</v>
      </c>
      <c r="M165" s="29"/>
      <c r="N165" s="17" t="s">
        <v>719</v>
      </c>
      <c r="O165" s="50" t="s">
        <v>646</v>
      </c>
      <c r="P165" s="57"/>
      <c r="Q165" s="29"/>
    </row>
    <row r="166" customFormat="false" ht="15" hidden="false" customHeight="false" outlineLevel="0" collapsed="false">
      <c r="A166" s="17" t="n">
        <v>165</v>
      </c>
      <c r="B166" s="46" t="n">
        <v>45496</v>
      </c>
      <c r="C166" s="29"/>
      <c r="D166" s="4" t="s">
        <v>566</v>
      </c>
      <c r="E166" s="29" t="s">
        <v>567</v>
      </c>
      <c r="F166" s="51" t="n">
        <v>5</v>
      </c>
      <c r="G166" s="51" t="s">
        <v>84</v>
      </c>
      <c r="H166" s="47" t="n">
        <v>22433.3</v>
      </c>
      <c r="I166" s="47" t="n">
        <f aca="false">H166*F166</f>
        <v>112166.5</v>
      </c>
      <c r="J166" s="47" t="n">
        <v>0</v>
      </c>
      <c r="K166" s="47" t="n">
        <v>0</v>
      </c>
      <c r="L166" s="47" t="n">
        <f aca="false">I166+J166+K166</f>
        <v>112166.5</v>
      </c>
      <c r="M166" s="29"/>
      <c r="N166" s="17" t="s">
        <v>719</v>
      </c>
      <c r="O166" s="50" t="s">
        <v>646</v>
      </c>
      <c r="P166" s="57"/>
      <c r="Q166" s="29"/>
    </row>
    <row r="167" customFormat="false" ht="15" hidden="false" customHeight="false" outlineLevel="0" collapsed="false">
      <c r="A167" s="17" t="n">
        <v>166</v>
      </c>
      <c r="B167" s="46" t="n">
        <v>45497</v>
      </c>
      <c r="C167" s="29"/>
      <c r="D167" s="4" t="s">
        <v>568</v>
      </c>
      <c r="E167" s="29" t="s">
        <v>569</v>
      </c>
      <c r="F167" s="51" t="n">
        <v>4</v>
      </c>
      <c r="G167" s="51" t="s">
        <v>84</v>
      </c>
      <c r="H167" s="47" t="n">
        <v>6696.51</v>
      </c>
      <c r="I167" s="47" t="n">
        <f aca="false">H167*F167</f>
        <v>26786.04</v>
      </c>
      <c r="J167" s="47" t="n">
        <v>0</v>
      </c>
      <c r="K167" s="47" t="n">
        <v>0</v>
      </c>
      <c r="L167" s="47" t="n">
        <f aca="false">I167+J167+K167</f>
        <v>26786.04</v>
      </c>
      <c r="M167" s="29"/>
      <c r="N167" s="17" t="s">
        <v>719</v>
      </c>
      <c r="O167" s="50" t="s">
        <v>646</v>
      </c>
      <c r="P167" s="57"/>
      <c r="Q167" s="29"/>
    </row>
    <row r="168" customFormat="false" ht="15" hidden="false" customHeight="false" outlineLevel="0" collapsed="false">
      <c r="A168" s="17" t="n">
        <v>167</v>
      </c>
      <c r="B168" s="46" t="n">
        <v>45497</v>
      </c>
      <c r="C168" s="29"/>
      <c r="D168" s="4" t="s">
        <v>570</v>
      </c>
      <c r="E168" s="29" t="s">
        <v>571</v>
      </c>
      <c r="F168" s="51" t="n">
        <v>4</v>
      </c>
      <c r="G168" s="51" t="s">
        <v>154</v>
      </c>
      <c r="H168" s="47" t="n">
        <v>54000</v>
      </c>
      <c r="I168" s="47" t="n">
        <f aca="false">H168*F168</f>
        <v>216000</v>
      </c>
      <c r="J168" s="47" t="n">
        <f aca="false">0.18*I168</f>
        <v>38880</v>
      </c>
      <c r="K168" s="47" t="n">
        <v>0</v>
      </c>
      <c r="L168" s="47" t="n">
        <f aca="false">K168+J168+I168</f>
        <v>254880</v>
      </c>
      <c r="M168" s="47"/>
      <c r="N168" s="17" t="s">
        <v>719</v>
      </c>
      <c r="O168" s="44" t="s">
        <v>609</v>
      </c>
      <c r="P168" s="57"/>
      <c r="Q168" s="29"/>
    </row>
    <row r="169" customFormat="false" ht="15" hidden="false" customHeight="false" outlineLevel="0" collapsed="false">
      <c r="A169" s="35" t="n">
        <v>168</v>
      </c>
      <c r="B169" s="53" t="n">
        <v>45497</v>
      </c>
      <c r="C169" s="42"/>
      <c r="D169" s="54" t="s">
        <v>472</v>
      </c>
      <c r="E169" s="42" t="s">
        <v>474</v>
      </c>
      <c r="F169" s="55" t="n">
        <v>1</v>
      </c>
      <c r="G169" s="55" t="s">
        <v>479</v>
      </c>
      <c r="H169" s="56" t="n">
        <v>3025.42</v>
      </c>
      <c r="I169" s="56" t="n">
        <f aca="false">H169*F169</f>
        <v>3025.42</v>
      </c>
      <c r="J169" s="56" t="n">
        <f aca="false">0.18*I169</f>
        <v>544.5756</v>
      </c>
      <c r="K169" s="56" t="n">
        <v>0</v>
      </c>
      <c r="L169" s="56" t="n">
        <f aca="false">K169+J169+I169</f>
        <v>3569.9956</v>
      </c>
      <c r="M169" s="42"/>
      <c r="N169" s="35" t="s">
        <v>725</v>
      </c>
      <c r="O169" s="58" t="s">
        <v>646</v>
      </c>
      <c r="P169" s="59"/>
      <c r="Q169" s="42"/>
    </row>
    <row r="170" customFormat="false" ht="15" hidden="false" customHeight="false" outlineLevel="0" collapsed="false">
      <c r="A170" s="17" t="n">
        <v>169</v>
      </c>
      <c r="B170" s="46" t="n">
        <v>45498</v>
      </c>
      <c r="C170" s="29"/>
      <c r="D170" s="4" t="s">
        <v>558</v>
      </c>
      <c r="E170" s="29" t="s">
        <v>726</v>
      </c>
      <c r="F170" s="32" t="n">
        <v>2</v>
      </c>
      <c r="G170" s="51" t="s">
        <v>57</v>
      </c>
      <c r="H170" s="47" t="n">
        <v>6356</v>
      </c>
      <c r="I170" s="47" t="n">
        <f aca="false">H170*F170</f>
        <v>12712</v>
      </c>
      <c r="J170" s="47" t="n">
        <f aca="false">0.18*I170</f>
        <v>2288.16</v>
      </c>
      <c r="K170" s="47" t="n">
        <v>0</v>
      </c>
      <c r="L170" s="47" t="n">
        <f aca="false">K170+J170+I170</f>
        <v>15000.16</v>
      </c>
      <c r="M170" s="29"/>
      <c r="N170" s="17" t="s">
        <v>721</v>
      </c>
      <c r="O170" s="44" t="s">
        <v>609</v>
      </c>
      <c r="P170" s="57"/>
      <c r="Q170" s="29"/>
    </row>
    <row r="171" customFormat="false" ht="15" hidden="false" customHeight="false" outlineLevel="0" collapsed="false">
      <c r="A171" s="17" t="n">
        <v>170</v>
      </c>
      <c r="B171" s="46" t="n">
        <v>45498</v>
      </c>
      <c r="C171" s="29"/>
      <c r="D171" s="54" t="s">
        <v>572</v>
      </c>
      <c r="E171" s="29" t="s">
        <v>727</v>
      </c>
      <c r="F171" s="51" t="n">
        <v>8</v>
      </c>
      <c r="G171" s="51" t="s">
        <v>23</v>
      </c>
      <c r="H171" s="47" t="n">
        <v>9500</v>
      </c>
      <c r="I171" s="47" t="n">
        <f aca="false">H171*F171</f>
        <v>76000</v>
      </c>
      <c r="J171" s="47" t="n">
        <f aca="false">0.18*I171</f>
        <v>13680</v>
      </c>
      <c r="K171" s="47" t="n">
        <v>0</v>
      </c>
      <c r="L171" s="47" t="n">
        <f aca="false">K171+J171+I171</f>
        <v>89680</v>
      </c>
      <c r="M171" s="29"/>
      <c r="N171" s="17" t="s">
        <v>719</v>
      </c>
      <c r="O171" s="58" t="s">
        <v>646</v>
      </c>
      <c r="P171" s="60"/>
      <c r="Q171" s="29"/>
    </row>
    <row r="172" customFormat="false" ht="15" hidden="false" customHeight="false" outlineLevel="0" collapsed="false">
      <c r="A172" s="17" t="n">
        <v>171</v>
      </c>
      <c r="B172" s="46" t="n">
        <v>45503</v>
      </c>
      <c r="C172" s="29"/>
      <c r="D172" s="4" t="s">
        <v>458</v>
      </c>
      <c r="E172" s="29" t="s">
        <v>459</v>
      </c>
      <c r="F172" s="32" t="n">
        <v>2</v>
      </c>
      <c r="G172" s="51" t="s">
        <v>455</v>
      </c>
      <c r="H172" s="56" t="n">
        <v>380</v>
      </c>
      <c r="I172" s="56" t="n">
        <f aca="false">H172*F172</f>
        <v>760</v>
      </c>
      <c r="J172" s="56" t="n">
        <f aca="false">0.18*I172</f>
        <v>136.8</v>
      </c>
      <c r="K172" s="56" t="n">
        <v>0</v>
      </c>
      <c r="L172" s="56" t="n">
        <f aca="false">K172+J172+I172</f>
        <v>896.8</v>
      </c>
      <c r="M172" s="29"/>
      <c r="N172" s="35" t="s">
        <v>719</v>
      </c>
      <c r="O172" s="35" t="s">
        <v>728</v>
      </c>
      <c r="P172" s="29"/>
      <c r="Q172" s="29"/>
    </row>
    <row r="173" customFormat="false" ht="15" hidden="false" customHeight="false" outlineLevel="0" collapsed="false">
      <c r="A173" s="35" t="n">
        <v>172</v>
      </c>
      <c r="B173" s="46" t="n">
        <v>45507</v>
      </c>
      <c r="C173" s="29"/>
      <c r="D173" s="4" t="s">
        <v>255</v>
      </c>
      <c r="E173" s="29" t="s">
        <v>729</v>
      </c>
      <c r="F173" s="32" t="n">
        <v>2</v>
      </c>
      <c r="G173" s="51" t="s">
        <v>132</v>
      </c>
      <c r="H173" s="56" t="n">
        <v>18750</v>
      </c>
      <c r="I173" s="56" t="n">
        <f aca="false">H173*F173</f>
        <v>37500</v>
      </c>
      <c r="J173" s="56" t="n">
        <f aca="false">0.05*I173</f>
        <v>1875</v>
      </c>
      <c r="K173" s="56" t="n">
        <v>0</v>
      </c>
      <c r="L173" s="56" t="n">
        <f aca="false">K173+J173+I173</f>
        <v>39375</v>
      </c>
      <c r="M173" s="29"/>
      <c r="N173" s="35" t="s">
        <v>719</v>
      </c>
      <c r="O173" s="35" t="s">
        <v>730</v>
      </c>
      <c r="P173" s="29"/>
      <c r="Q173" s="29"/>
    </row>
    <row r="174" customFormat="false" ht="15" hidden="false" customHeight="false" outlineLevel="0" collapsed="false">
      <c r="A174" s="17" t="n">
        <v>173</v>
      </c>
      <c r="B174" s="46" t="n">
        <v>45507</v>
      </c>
      <c r="C174" s="29"/>
      <c r="D174" s="4" t="s">
        <v>242</v>
      </c>
      <c r="E174" s="29" t="s">
        <v>731</v>
      </c>
      <c r="F174" s="32" t="n">
        <v>1</v>
      </c>
      <c r="G174" s="51" t="s">
        <v>132</v>
      </c>
      <c r="H174" s="56" t="n">
        <v>28500</v>
      </c>
      <c r="I174" s="56" t="n">
        <f aca="false">H174*F174</f>
        <v>28500</v>
      </c>
      <c r="J174" s="56" t="n">
        <f aca="false">0.05*I174</f>
        <v>1425</v>
      </c>
      <c r="K174" s="56" t="n">
        <v>0</v>
      </c>
      <c r="L174" s="56" t="n">
        <f aca="false">K174+J174+I174</f>
        <v>29925</v>
      </c>
      <c r="M174" s="29"/>
      <c r="N174" s="35" t="s">
        <v>719</v>
      </c>
      <c r="O174" s="35" t="s">
        <v>730</v>
      </c>
      <c r="P174" s="29"/>
      <c r="Q174" s="29"/>
    </row>
    <row r="175" customFormat="false" ht="15" hidden="false" customHeight="false" outlineLevel="0" collapsed="false">
      <c r="A175" s="17" t="n">
        <v>174</v>
      </c>
      <c r="B175" s="46" t="n">
        <v>45507</v>
      </c>
      <c r="C175" s="29"/>
      <c r="D175" s="4" t="s">
        <v>575</v>
      </c>
      <c r="E175" s="29" t="s">
        <v>732</v>
      </c>
      <c r="F175" s="32" t="n">
        <v>1</v>
      </c>
      <c r="G175" s="51" t="s">
        <v>132</v>
      </c>
      <c r="H175" s="56" t="n">
        <v>3500</v>
      </c>
      <c r="I175" s="56" t="n">
        <f aca="false">H175*F175</f>
        <v>3500</v>
      </c>
      <c r="J175" s="56" t="n">
        <f aca="false">0.05*I175</f>
        <v>175</v>
      </c>
      <c r="K175" s="56" t="n">
        <v>0</v>
      </c>
      <c r="L175" s="56" t="n">
        <f aca="false">K175+J175+I175</f>
        <v>3675</v>
      </c>
      <c r="M175" s="29"/>
      <c r="N175" s="35" t="s">
        <v>719</v>
      </c>
      <c r="O175" s="35" t="s">
        <v>730</v>
      </c>
      <c r="P175" s="29"/>
      <c r="Q175" s="29"/>
    </row>
    <row r="176" customFormat="false" ht="15" hidden="false" customHeight="false" outlineLevel="0" collapsed="false">
      <c r="A176" s="17" t="n">
        <v>175</v>
      </c>
      <c r="B176" s="46" t="n">
        <v>45507</v>
      </c>
      <c r="C176" s="29"/>
      <c r="D176" s="4" t="s">
        <v>577</v>
      </c>
      <c r="E176" s="29" t="s">
        <v>578</v>
      </c>
      <c r="F176" s="32" t="n">
        <v>1</v>
      </c>
      <c r="G176" s="51" t="s">
        <v>132</v>
      </c>
      <c r="H176" s="56" t="n">
        <v>26800</v>
      </c>
      <c r="I176" s="56" t="n">
        <f aca="false">H176*F176</f>
        <v>26800</v>
      </c>
      <c r="J176" s="56" t="n">
        <f aca="false">0.18*I176</f>
        <v>4824</v>
      </c>
      <c r="K176" s="56" t="n">
        <v>0</v>
      </c>
      <c r="L176" s="56" t="n">
        <f aca="false">K176+J176+I176</f>
        <v>31624</v>
      </c>
      <c r="M176" s="29"/>
      <c r="N176" s="35" t="s">
        <v>719</v>
      </c>
      <c r="O176" s="35" t="s">
        <v>730</v>
      </c>
      <c r="P176" s="29"/>
      <c r="Q176" s="29"/>
    </row>
    <row r="177" customFormat="false" ht="15" hidden="false" customHeight="false" outlineLevel="0" collapsed="false">
      <c r="A177" s="35" t="n">
        <v>176</v>
      </c>
      <c r="B177" s="46" t="n">
        <v>45507</v>
      </c>
      <c r="C177" s="29"/>
      <c r="D177" s="4" t="s">
        <v>579</v>
      </c>
      <c r="E177" s="29" t="s">
        <v>581</v>
      </c>
      <c r="F177" s="32" t="n">
        <v>1</v>
      </c>
      <c r="G177" s="51" t="s">
        <v>479</v>
      </c>
      <c r="H177" s="56" t="n">
        <v>438.98</v>
      </c>
      <c r="I177" s="56" t="n">
        <f aca="false">H177*F177</f>
        <v>438.98</v>
      </c>
      <c r="J177" s="56" t="n">
        <f aca="false">0.18*I177</f>
        <v>79.0164</v>
      </c>
      <c r="K177" s="56" t="n">
        <v>0</v>
      </c>
      <c r="L177" s="56" t="n">
        <f aca="false">K177+J177+I177</f>
        <v>517.9964</v>
      </c>
      <c r="M177" s="29"/>
      <c r="N177" s="35" t="s">
        <v>721</v>
      </c>
      <c r="O177" s="35" t="s">
        <v>730</v>
      </c>
      <c r="P177" s="29"/>
      <c r="Q177" s="29"/>
    </row>
    <row r="178" customFormat="false" ht="15" hidden="false" customHeight="false" outlineLevel="0" collapsed="false">
      <c r="A178" s="17" t="n">
        <v>177</v>
      </c>
      <c r="B178" s="46" t="n">
        <v>45507</v>
      </c>
      <c r="C178" s="29"/>
      <c r="D178" s="4" t="s">
        <v>582</v>
      </c>
      <c r="E178" s="29" t="s">
        <v>584</v>
      </c>
      <c r="F178" s="32" t="n">
        <v>2</v>
      </c>
      <c r="G178" s="51" t="s">
        <v>70</v>
      </c>
      <c r="H178" s="56" t="n">
        <v>32.205</v>
      </c>
      <c r="I178" s="56" t="n">
        <f aca="false">H178*F178</f>
        <v>64.41</v>
      </c>
      <c r="J178" s="56" t="n">
        <f aca="false">0.18*I178</f>
        <v>11.5938</v>
      </c>
      <c r="K178" s="56" t="n">
        <f aca="false">27.667</f>
        <v>27.667</v>
      </c>
      <c r="L178" s="56" t="n">
        <f aca="false">K178+J178+I178</f>
        <v>103.6708</v>
      </c>
      <c r="M178" s="29"/>
      <c r="N178" s="35" t="s">
        <v>721</v>
      </c>
      <c r="O178" s="35" t="s">
        <v>730</v>
      </c>
      <c r="P178" s="29"/>
      <c r="Q178" s="29"/>
    </row>
    <row r="179" customFormat="false" ht="15" hidden="false" customHeight="false" outlineLevel="0" collapsed="false">
      <c r="A179" s="17" t="n">
        <v>178</v>
      </c>
      <c r="B179" s="46" t="n">
        <v>45507</v>
      </c>
      <c r="C179" s="29"/>
      <c r="D179" s="4" t="s">
        <v>585</v>
      </c>
      <c r="E179" s="29" t="s">
        <v>587</v>
      </c>
      <c r="F179" s="32" t="n">
        <v>2</v>
      </c>
      <c r="G179" s="51" t="s">
        <v>70</v>
      </c>
      <c r="H179" s="56" t="n">
        <v>111.855</v>
      </c>
      <c r="I179" s="56" t="n">
        <f aca="false">H179*F179</f>
        <v>223.71</v>
      </c>
      <c r="J179" s="56" t="n">
        <f aca="false">0.18*I179</f>
        <v>40.2678</v>
      </c>
      <c r="K179" s="56" t="n">
        <f aca="false">27.667</f>
        <v>27.667</v>
      </c>
      <c r="L179" s="56" t="n">
        <f aca="false">K179+J179+I179</f>
        <v>291.6448</v>
      </c>
      <c r="M179" s="29"/>
      <c r="N179" s="35" t="s">
        <v>721</v>
      </c>
      <c r="O179" s="35" t="s">
        <v>730</v>
      </c>
      <c r="P179" s="29"/>
      <c r="Q179" s="29"/>
    </row>
    <row r="180" customFormat="false" ht="15" hidden="false" customHeight="false" outlineLevel="0" collapsed="false">
      <c r="A180" s="17" t="n">
        <v>179</v>
      </c>
      <c r="B180" s="46" t="n">
        <v>45507</v>
      </c>
      <c r="C180" s="29"/>
      <c r="D180" s="4" t="s">
        <v>588</v>
      </c>
      <c r="E180" s="29" t="s">
        <v>589</v>
      </c>
      <c r="F180" s="32" t="n">
        <v>2</v>
      </c>
      <c r="G180" s="51" t="s">
        <v>70</v>
      </c>
      <c r="H180" s="56" t="n">
        <v>124.245</v>
      </c>
      <c r="I180" s="56" t="n">
        <f aca="false">H180*F180</f>
        <v>248.49</v>
      </c>
      <c r="J180" s="56" t="n">
        <f aca="false">0.18*I180</f>
        <v>44.7282</v>
      </c>
      <c r="K180" s="56" t="n">
        <f aca="false">27.667</f>
        <v>27.667</v>
      </c>
      <c r="L180" s="56" t="n">
        <f aca="false">K180+J180+I180</f>
        <v>320.8852</v>
      </c>
      <c r="M180" s="29"/>
      <c r="N180" s="35" t="s">
        <v>721</v>
      </c>
      <c r="O180" s="35" t="s">
        <v>730</v>
      </c>
      <c r="P180" s="29"/>
      <c r="Q180" s="29"/>
    </row>
    <row r="181" customFormat="false" ht="15" hidden="false" customHeight="false" outlineLevel="0" collapsed="false">
      <c r="A181" s="35" t="n">
        <v>180</v>
      </c>
      <c r="B181" s="46" t="n">
        <v>45507</v>
      </c>
      <c r="C181" s="29"/>
      <c r="D181" s="4" t="s">
        <v>590</v>
      </c>
      <c r="E181" s="29" t="s">
        <v>591</v>
      </c>
      <c r="F181" s="32" t="n">
        <v>3</v>
      </c>
      <c r="G181" s="51" t="s">
        <v>70</v>
      </c>
      <c r="H181" s="56" t="n">
        <v>143.406</v>
      </c>
      <c r="I181" s="56" t="n">
        <f aca="false">H181*F181</f>
        <v>430.218</v>
      </c>
      <c r="J181" s="56" t="n">
        <f aca="false">0.18*I181</f>
        <v>77.43924</v>
      </c>
      <c r="K181" s="56" t="n">
        <f aca="false">27.667</f>
        <v>27.667</v>
      </c>
      <c r="L181" s="56" t="n">
        <f aca="false">K181+J181+I181</f>
        <v>535.32424</v>
      </c>
      <c r="M181" s="29"/>
      <c r="N181" s="35" t="s">
        <v>721</v>
      </c>
      <c r="O181" s="35" t="s">
        <v>730</v>
      </c>
      <c r="P181" s="29"/>
      <c r="Q181" s="29"/>
    </row>
    <row r="182" customFormat="false" ht="15" hidden="false" customHeight="false" outlineLevel="0" collapsed="false">
      <c r="A182" s="17" t="n">
        <v>181</v>
      </c>
      <c r="B182" s="46" t="n">
        <v>45507</v>
      </c>
      <c r="C182" s="29"/>
      <c r="D182" s="4" t="s">
        <v>197</v>
      </c>
      <c r="E182" s="29" t="s">
        <v>733</v>
      </c>
      <c r="F182" s="32" t="n">
        <v>1</v>
      </c>
      <c r="G182" s="51" t="s">
        <v>70</v>
      </c>
      <c r="H182" s="56" t="n">
        <v>203.81</v>
      </c>
      <c r="I182" s="56" t="n">
        <f aca="false">H182*F182</f>
        <v>203.81</v>
      </c>
      <c r="J182" s="56" t="n">
        <f aca="false">0.18*I182</f>
        <v>36.6858</v>
      </c>
      <c r="K182" s="56" t="n">
        <f aca="false">27.667</f>
        <v>27.667</v>
      </c>
      <c r="L182" s="56" t="n">
        <f aca="false">K182+J182+I182</f>
        <v>268.1628</v>
      </c>
      <c r="M182" s="29"/>
      <c r="N182" s="35" t="s">
        <v>721</v>
      </c>
      <c r="O182" s="35" t="s">
        <v>730</v>
      </c>
      <c r="P182" s="29"/>
      <c r="Q182" s="29"/>
    </row>
    <row r="183" customFormat="false" ht="15" hidden="false" customHeight="false" outlineLevel="0" collapsed="false">
      <c r="A183" s="17" t="n">
        <v>182</v>
      </c>
      <c r="B183" s="46" t="n">
        <v>45507</v>
      </c>
      <c r="C183" s="29"/>
      <c r="D183" s="4" t="s">
        <v>194</v>
      </c>
      <c r="E183" s="29" t="s">
        <v>734</v>
      </c>
      <c r="F183" s="32" t="n">
        <v>7</v>
      </c>
      <c r="G183" s="51" t="s">
        <v>70</v>
      </c>
      <c r="H183" s="56" t="n">
        <v>40.728</v>
      </c>
      <c r="I183" s="56" t="n">
        <f aca="false">H183*F183</f>
        <v>285.096</v>
      </c>
      <c r="J183" s="56" t="n">
        <f aca="false">0.18*I183</f>
        <v>51.31728</v>
      </c>
      <c r="K183" s="56" t="n">
        <f aca="false">27.667</f>
        <v>27.667</v>
      </c>
      <c r="L183" s="56" t="n">
        <f aca="false">K183+J183+I183</f>
        <v>364.08028</v>
      </c>
      <c r="M183" s="29"/>
      <c r="N183" s="35" t="s">
        <v>721</v>
      </c>
      <c r="O183" s="35" t="s">
        <v>730</v>
      </c>
      <c r="P183" s="29"/>
      <c r="Q183" s="29"/>
    </row>
    <row r="184" customFormat="false" ht="15" hidden="false" customHeight="false" outlineLevel="0" collapsed="false">
      <c r="A184" s="17" t="n">
        <v>183</v>
      </c>
      <c r="B184" s="46" t="n">
        <v>45507</v>
      </c>
      <c r="C184" s="29"/>
      <c r="D184" s="61" t="s">
        <v>735</v>
      </c>
      <c r="E184" s="29" t="s">
        <v>736</v>
      </c>
      <c r="F184" s="32" t="n">
        <v>10</v>
      </c>
      <c r="G184" s="51" t="s">
        <v>70</v>
      </c>
      <c r="H184" s="56" t="n">
        <v>633.687</v>
      </c>
      <c r="I184" s="56" t="n">
        <f aca="false">H184*F184</f>
        <v>6336.87</v>
      </c>
      <c r="J184" s="56" t="n">
        <f aca="false">0.18*I184</f>
        <v>1140.6366</v>
      </c>
      <c r="K184" s="56" t="n">
        <f aca="false">27.667</f>
        <v>27.667</v>
      </c>
      <c r="L184" s="56" t="n">
        <f aca="false">K184+J184+I184</f>
        <v>7505.1736</v>
      </c>
      <c r="M184" s="29"/>
      <c r="N184" s="35" t="s">
        <v>638</v>
      </c>
      <c r="O184" s="35" t="s">
        <v>730</v>
      </c>
      <c r="P184" s="29"/>
      <c r="Q184" s="29"/>
    </row>
    <row r="185" customFormat="false" ht="15" hidden="false" customHeight="false" outlineLevel="0" collapsed="false">
      <c r="A185" s="35" t="n">
        <v>184</v>
      </c>
      <c r="B185" s="46" t="n">
        <v>45507</v>
      </c>
      <c r="C185" s="29"/>
      <c r="D185" s="4" t="s">
        <v>451</v>
      </c>
      <c r="E185" s="29" t="s">
        <v>737</v>
      </c>
      <c r="F185" s="32" t="n">
        <v>15</v>
      </c>
      <c r="G185" s="51" t="s">
        <v>70</v>
      </c>
      <c r="H185" s="56" t="n">
        <v>32.568</v>
      </c>
      <c r="I185" s="56" t="n">
        <f aca="false">H185*F185</f>
        <v>488.52</v>
      </c>
      <c r="J185" s="56" t="n">
        <f aca="false">0.18*I185</f>
        <v>87.9336</v>
      </c>
      <c r="K185" s="56" t="n">
        <f aca="false">27.667</f>
        <v>27.667</v>
      </c>
      <c r="L185" s="56" t="n">
        <f aca="false">K185+J185+I185</f>
        <v>604.1206</v>
      </c>
      <c r="M185" s="29"/>
      <c r="N185" s="35" t="s">
        <v>638</v>
      </c>
      <c r="O185" s="35" t="s">
        <v>730</v>
      </c>
      <c r="P185" s="29"/>
      <c r="Q185" s="29"/>
    </row>
    <row r="186" customFormat="false" ht="15" hidden="false" customHeight="false" outlineLevel="0" collapsed="false">
      <c r="A186" s="17" t="n">
        <v>185</v>
      </c>
      <c r="B186" s="46" t="n">
        <v>45507</v>
      </c>
      <c r="C186" s="29"/>
      <c r="D186" s="4" t="s">
        <v>208</v>
      </c>
      <c r="E186" s="29" t="s">
        <v>738</v>
      </c>
      <c r="F186" s="32" t="n">
        <v>10</v>
      </c>
      <c r="G186" s="51" t="s">
        <v>108</v>
      </c>
      <c r="H186" s="56" t="n">
        <v>143</v>
      </c>
      <c r="I186" s="56" t="n">
        <f aca="false">H186*F186</f>
        <v>1430</v>
      </c>
      <c r="J186" s="56" t="n">
        <f aca="false">0.18*I186</f>
        <v>257.4</v>
      </c>
      <c r="K186" s="56" t="n">
        <v>0</v>
      </c>
      <c r="L186" s="56" t="n">
        <f aca="false">K186+J186+I186</f>
        <v>1687.4</v>
      </c>
      <c r="M186" s="29"/>
      <c r="N186" s="35" t="s">
        <v>638</v>
      </c>
      <c r="O186" s="35" t="s">
        <v>730</v>
      </c>
      <c r="P186" s="29"/>
      <c r="Q186" s="29"/>
    </row>
    <row r="187" customFormat="false" ht="15" hidden="false" customHeight="false" outlineLevel="0" collapsed="false">
      <c r="A187" s="17" t="n">
        <v>186</v>
      </c>
      <c r="B187" s="46" t="n">
        <v>45507</v>
      </c>
      <c r="C187" s="29"/>
      <c r="D187" s="4" t="s">
        <v>75</v>
      </c>
      <c r="E187" s="29" t="s">
        <v>739</v>
      </c>
      <c r="F187" s="32" t="n">
        <v>2</v>
      </c>
      <c r="G187" s="51" t="s">
        <v>70</v>
      </c>
      <c r="H187" s="56" t="n">
        <v>168.645</v>
      </c>
      <c r="I187" s="56" t="n">
        <f aca="false">H187*F187</f>
        <v>337.29</v>
      </c>
      <c r="J187" s="56" t="n">
        <f aca="false">0.18*I187</f>
        <v>60.7122</v>
      </c>
      <c r="K187" s="56" t="n">
        <f aca="false">27.667</f>
        <v>27.667</v>
      </c>
      <c r="L187" s="56" t="n">
        <f aca="false">K187+J187+I187</f>
        <v>425.6692</v>
      </c>
      <c r="M187" s="29"/>
      <c r="N187" s="17" t="s">
        <v>719</v>
      </c>
      <c r="O187" s="35" t="s">
        <v>730</v>
      </c>
      <c r="P187" s="29"/>
      <c r="Q187" s="29"/>
    </row>
    <row r="188" customFormat="false" ht="15" hidden="false" customHeight="false" outlineLevel="0" collapsed="false">
      <c r="A188" s="17" t="n">
        <v>187</v>
      </c>
      <c r="B188" s="62" t="n">
        <v>45507</v>
      </c>
      <c r="C188" s="63"/>
      <c r="D188" s="4" t="s">
        <v>740</v>
      </c>
      <c r="E188" s="63" t="s">
        <v>741</v>
      </c>
      <c r="F188" s="64" t="n">
        <v>1</v>
      </c>
      <c r="G188" s="65" t="s">
        <v>132</v>
      </c>
      <c r="H188" s="47" t="n">
        <v>1875</v>
      </c>
      <c r="I188" s="56" t="n">
        <f aca="false">H188*F188</f>
        <v>1875</v>
      </c>
      <c r="J188" s="56" t="n">
        <f aca="false">0.18*I188</f>
        <v>337.5</v>
      </c>
      <c r="K188" s="66" t="n">
        <v>0</v>
      </c>
      <c r="L188" s="56" t="n">
        <f aca="false">K188+J188+I188</f>
        <v>2212.5</v>
      </c>
      <c r="M188" s="63"/>
      <c r="N188" s="17" t="s">
        <v>721</v>
      </c>
      <c r="O188" s="35" t="s">
        <v>730</v>
      </c>
      <c r="P188" s="63"/>
      <c r="Q188" s="29"/>
    </row>
    <row r="189" customFormat="false" ht="15" hidden="false" customHeight="false" outlineLevel="0" collapsed="false">
      <c r="A189" s="35" t="n">
        <v>188</v>
      </c>
      <c r="B189" s="46" t="n">
        <v>45507</v>
      </c>
      <c r="C189" s="29"/>
      <c r="D189" s="4" t="s">
        <v>742</v>
      </c>
      <c r="E189" s="29" t="s">
        <v>743</v>
      </c>
      <c r="F189" s="32" t="n">
        <v>1</v>
      </c>
      <c r="G189" s="51" t="s">
        <v>81</v>
      </c>
      <c r="H189" s="47" t="n">
        <v>349</v>
      </c>
      <c r="I189" s="56" t="n">
        <f aca="false">H189*F189</f>
        <v>349</v>
      </c>
      <c r="J189" s="56" t="n">
        <f aca="false">0.18*I189</f>
        <v>62.82</v>
      </c>
      <c r="K189" s="47" t="n">
        <v>108</v>
      </c>
      <c r="L189" s="56" t="n">
        <f aca="false">K189+J189+I189</f>
        <v>519.82</v>
      </c>
      <c r="M189" s="29"/>
      <c r="N189" s="17" t="s">
        <v>721</v>
      </c>
      <c r="O189" s="35" t="s">
        <v>730</v>
      </c>
      <c r="P189" s="29"/>
      <c r="Q189" s="29"/>
    </row>
    <row r="190" customFormat="false" ht="15" hidden="false" customHeight="false" outlineLevel="0" collapsed="false">
      <c r="A190" s="17" t="n">
        <v>189</v>
      </c>
      <c r="B190" s="46" t="n">
        <v>45507</v>
      </c>
      <c r="C190" s="29"/>
      <c r="D190" s="4" t="s">
        <v>744</v>
      </c>
      <c r="E190" s="29" t="s">
        <v>745</v>
      </c>
      <c r="F190" s="32" t="n">
        <v>3</v>
      </c>
      <c r="G190" s="51" t="s">
        <v>57</v>
      </c>
      <c r="H190" s="47" t="n">
        <v>64.99</v>
      </c>
      <c r="I190" s="56" t="n">
        <f aca="false">H190*F190</f>
        <v>194.97</v>
      </c>
      <c r="J190" s="56" t="n">
        <f aca="false">0.18*I190</f>
        <v>35.0946</v>
      </c>
      <c r="K190" s="47" t="n">
        <v>90</v>
      </c>
      <c r="L190" s="56" t="n">
        <f aca="false">K190+J190+I190</f>
        <v>320.0646</v>
      </c>
      <c r="M190" s="29"/>
      <c r="N190" s="17" t="s">
        <v>721</v>
      </c>
      <c r="O190" s="35" t="s">
        <v>730</v>
      </c>
      <c r="P190" s="29"/>
      <c r="Q190" s="29"/>
    </row>
    <row r="191" customFormat="false" ht="15" hidden="false" customHeight="false" outlineLevel="0" collapsed="false">
      <c r="A191" s="17" t="n">
        <v>190</v>
      </c>
      <c r="B191" s="46"/>
      <c r="C191" s="29"/>
      <c r="D191" s="29"/>
      <c r="E191" s="29" t="s">
        <v>746</v>
      </c>
      <c r="F191" s="32" t="n">
        <v>1</v>
      </c>
      <c r="G191" s="51" t="s">
        <v>747</v>
      </c>
      <c r="H191" s="47" t="n">
        <f aca="false">293605+5500+5500</f>
        <v>304605</v>
      </c>
      <c r="I191" s="56" t="n">
        <f aca="false">H191*F191</f>
        <v>304605</v>
      </c>
      <c r="J191" s="56" t="n">
        <f aca="false">0.18*I191</f>
        <v>54828.9</v>
      </c>
      <c r="K191" s="47" t="n">
        <v>0</v>
      </c>
      <c r="L191" s="47" t="n">
        <f aca="false">K191+J191+I191</f>
        <v>359433.9</v>
      </c>
      <c r="M191" s="29"/>
      <c r="N191" s="17" t="s">
        <v>719</v>
      </c>
      <c r="O191" s="29"/>
    </row>
    <row r="192" customFormat="false" ht="15" hidden="false" customHeight="false" outlineLevel="0" collapsed="false">
      <c r="A192" s="35" t="n">
        <v>191</v>
      </c>
      <c r="B192" s="46"/>
      <c r="C192" s="29"/>
      <c r="D192" s="29"/>
      <c r="E192" s="29" t="s">
        <v>748</v>
      </c>
      <c r="F192" s="32" t="n">
        <v>1</v>
      </c>
      <c r="G192" s="51" t="s">
        <v>749</v>
      </c>
      <c r="H192" s="47"/>
      <c r="I192" s="47"/>
      <c r="J192" s="47"/>
      <c r="K192" s="47"/>
      <c r="L192" s="47" t="n">
        <v>25000</v>
      </c>
      <c r="M192" s="29"/>
      <c r="N192" s="17" t="s">
        <v>719</v>
      </c>
      <c r="O192" s="29"/>
    </row>
    <row r="193" customFormat="false" ht="15" hidden="false" customHeight="false" outlineLevel="0" collapsed="false">
      <c r="A193" s="17" t="n">
        <v>192</v>
      </c>
      <c r="B193" s="46"/>
      <c r="C193" s="29"/>
      <c r="D193" s="29"/>
      <c r="E193" s="29" t="s">
        <v>473</v>
      </c>
      <c r="F193" s="32" t="n">
        <v>1</v>
      </c>
      <c r="G193" s="51" t="s">
        <v>750</v>
      </c>
      <c r="H193" s="47"/>
      <c r="I193" s="47"/>
      <c r="J193" s="47"/>
      <c r="K193" s="47"/>
      <c r="L193" s="47" t="n">
        <v>1270860</v>
      </c>
      <c r="M193" s="29"/>
      <c r="N193" s="17" t="s">
        <v>719</v>
      </c>
      <c r="O193" s="29"/>
    </row>
    <row r="194" customFormat="false" ht="15" hidden="false" customHeight="false" outlineLevel="0" collapsed="false">
      <c r="A194" s="17" t="n">
        <v>193</v>
      </c>
      <c r="B194" s="46"/>
      <c r="C194" s="29"/>
      <c r="D194" s="29"/>
      <c r="E194" s="29" t="s">
        <v>129</v>
      </c>
      <c r="F194" s="32" t="n">
        <v>1</v>
      </c>
      <c r="G194" s="51" t="s">
        <v>751</v>
      </c>
      <c r="H194" s="47"/>
      <c r="I194" s="47"/>
      <c r="J194" s="47"/>
      <c r="K194" s="47"/>
      <c r="L194" s="47" t="n">
        <v>38693</v>
      </c>
      <c r="M194" s="29"/>
      <c r="N194" s="17" t="s">
        <v>719</v>
      </c>
      <c r="O194" s="29"/>
    </row>
    <row r="195" customFormat="false" ht="15" hidden="false" customHeight="false" outlineLevel="0" collapsed="false">
      <c r="A195" s="17" t="n">
        <v>194</v>
      </c>
      <c r="B195" s="46"/>
      <c r="C195" s="29"/>
      <c r="D195" s="29"/>
      <c r="E195" s="29" t="s">
        <v>752</v>
      </c>
      <c r="F195" s="32" t="n">
        <v>1</v>
      </c>
      <c r="G195" s="51" t="s">
        <v>749</v>
      </c>
      <c r="H195" s="47"/>
      <c r="I195" s="47"/>
      <c r="J195" s="47"/>
      <c r="K195" s="47"/>
      <c r="L195" s="47" t="n">
        <v>35000</v>
      </c>
      <c r="M195" s="29"/>
      <c r="N195" s="17" t="s">
        <v>719</v>
      </c>
      <c r="O195" s="29"/>
    </row>
    <row r="196" customFormat="false" ht="15" hidden="false" customHeight="false" outlineLevel="0" collapsed="false">
      <c r="A196" s="35" t="n">
        <v>195</v>
      </c>
      <c r="B196" s="46"/>
      <c r="C196" s="29"/>
      <c r="D196" s="29"/>
      <c r="E196" s="29" t="s">
        <v>101</v>
      </c>
      <c r="F196" s="32" t="n">
        <v>1</v>
      </c>
      <c r="G196" s="51" t="s">
        <v>500</v>
      </c>
      <c r="H196" s="47"/>
      <c r="I196" s="47"/>
      <c r="J196" s="47"/>
      <c r="K196" s="47"/>
      <c r="L196" s="47" t="n">
        <v>21920</v>
      </c>
      <c r="M196" s="29"/>
      <c r="N196" s="17" t="s">
        <v>719</v>
      </c>
      <c r="O196" s="29"/>
    </row>
    <row r="197" customFormat="false" ht="15" hidden="false" customHeight="false" outlineLevel="0" collapsed="false">
      <c r="A197" s="17" t="n">
        <v>196</v>
      </c>
      <c r="B197" s="46"/>
      <c r="C197" s="29"/>
      <c r="D197" s="29"/>
      <c r="E197" s="29" t="s">
        <v>753</v>
      </c>
      <c r="F197" s="32" t="n">
        <v>1</v>
      </c>
      <c r="G197" s="51" t="s">
        <v>754</v>
      </c>
      <c r="H197" s="47"/>
      <c r="I197" s="47"/>
      <c r="J197" s="47"/>
      <c r="K197" s="47"/>
      <c r="L197" s="47" t="n">
        <v>5000</v>
      </c>
      <c r="M197" s="29"/>
      <c r="N197" s="17" t="s">
        <v>719</v>
      </c>
      <c r="O197" s="67" t="s">
        <v>755</v>
      </c>
    </row>
    <row r="198" customFormat="false" ht="15" hidden="false" customHeight="false" outlineLevel="0" collapsed="false">
      <c r="A198" s="17" t="n">
        <v>197</v>
      </c>
      <c r="B198" s="46"/>
      <c r="C198" s="29"/>
      <c r="D198" s="29"/>
      <c r="E198" s="29" t="s">
        <v>756</v>
      </c>
      <c r="F198" s="32" t="n">
        <v>1</v>
      </c>
      <c r="G198" s="51" t="s">
        <v>98</v>
      </c>
      <c r="H198" s="47"/>
      <c r="I198" s="47"/>
      <c r="J198" s="47"/>
      <c r="K198" s="47"/>
      <c r="L198" s="47" t="n">
        <v>3167</v>
      </c>
      <c r="M198" s="29"/>
      <c r="N198" s="17" t="s">
        <v>719</v>
      </c>
      <c r="O198" s="29"/>
    </row>
    <row r="199" customFormat="false" ht="15" hidden="false" customHeight="false" outlineLevel="0" collapsed="false">
      <c r="A199" s="35" t="n">
        <v>198</v>
      </c>
      <c r="B199" s="46"/>
      <c r="C199" s="29"/>
      <c r="D199" s="29"/>
      <c r="E199" s="29" t="s">
        <v>757</v>
      </c>
      <c r="F199" s="32" t="n">
        <v>6</v>
      </c>
      <c r="G199" s="51" t="s">
        <v>64</v>
      </c>
      <c r="H199" s="47"/>
      <c r="I199" s="47"/>
      <c r="J199" s="47"/>
      <c r="K199" s="47"/>
      <c r="L199" s="47" t="n">
        <v>600</v>
      </c>
      <c r="M199" s="29"/>
      <c r="N199" s="17" t="s">
        <v>719</v>
      </c>
      <c r="O199" s="29"/>
    </row>
    <row r="200" customFormat="false" ht="15" hidden="false" customHeight="false" outlineLevel="0" collapsed="false">
      <c r="A200" s="17" t="n">
        <v>199</v>
      </c>
      <c r="B200" s="46"/>
      <c r="C200" s="29"/>
      <c r="D200" s="29"/>
      <c r="E200" s="29" t="s">
        <v>100</v>
      </c>
      <c r="F200" s="32" t="n">
        <v>1</v>
      </c>
      <c r="G200" s="51" t="s">
        <v>749</v>
      </c>
      <c r="H200" s="47"/>
      <c r="I200" s="47"/>
      <c r="J200" s="47"/>
      <c r="K200" s="47"/>
      <c r="L200" s="47" t="n">
        <v>2911.1</v>
      </c>
      <c r="M200" s="29"/>
      <c r="N200" s="17" t="s">
        <v>719</v>
      </c>
      <c r="O200" s="29"/>
    </row>
    <row r="201" customFormat="false" ht="15" hidden="false" customHeight="false" outlineLevel="0" collapsed="false">
      <c r="A201" s="17" t="n">
        <v>200</v>
      </c>
      <c r="B201" s="53"/>
      <c r="C201" s="42"/>
      <c r="D201" s="42"/>
      <c r="E201" s="42" t="s">
        <v>758</v>
      </c>
      <c r="F201" s="68" t="n">
        <v>3</v>
      </c>
      <c r="G201" s="55" t="s">
        <v>23</v>
      </c>
      <c r="H201" s="56" t="n">
        <v>850</v>
      </c>
      <c r="I201" s="56" t="n">
        <f aca="false">H201*F201</f>
        <v>2550</v>
      </c>
      <c r="J201" s="56" t="n">
        <f aca="false">0.18*I201</f>
        <v>459</v>
      </c>
      <c r="K201" s="56" t="n">
        <v>0</v>
      </c>
      <c r="L201" s="56" t="n">
        <f aca="false">K201+J201+I201</f>
        <v>3009</v>
      </c>
      <c r="M201" s="42"/>
      <c r="N201" s="35" t="s">
        <v>697</v>
      </c>
      <c r="O201" s="35" t="s">
        <v>632</v>
      </c>
    </row>
  </sheetData>
  <hyperlinks>
    <hyperlink ref="M2" r:id="rId1" display="Link"/>
    <hyperlink ref="M3" r:id="rId2" display="Link"/>
    <hyperlink ref="M4" r:id="rId3" display="Link"/>
    <hyperlink ref="M5" r:id="rId4" display="Link"/>
    <hyperlink ref="M6" r:id="rId5" display="Link"/>
    <hyperlink ref="M7" r:id="rId6" display="Link"/>
    <hyperlink ref="M8" r:id="rId7" display="Link"/>
    <hyperlink ref="M9" r:id="rId8" display="Link"/>
    <hyperlink ref="M10" r:id="rId9" display="Link"/>
    <hyperlink ref="M11" r:id="rId10" display="Link"/>
    <hyperlink ref="M12" r:id="rId11" display="Link"/>
    <hyperlink ref="M13" r:id="rId12" display="Link"/>
    <hyperlink ref="M14" r:id="rId13" display="Link"/>
    <hyperlink ref="M15" r:id="rId14" display="Link"/>
    <hyperlink ref="M16" r:id="rId15" display="Link"/>
    <hyperlink ref="M17" r:id="rId16" display="Link"/>
    <hyperlink ref="M18" r:id="rId17" display="Link"/>
    <hyperlink ref="M19" r:id="rId18" display="Link"/>
    <hyperlink ref="M20" r:id="rId19" display="Link"/>
    <hyperlink ref="M21" r:id="rId20" display="Link"/>
    <hyperlink ref="M22" r:id="rId21" display="Link"/>
    <hyperlink ref="M23" r:id="rId22" display="Link"/>
    <hyperlink ref="M24" r:id="rId23" display="Link"/>
    <hyperlink ref="M25" r:id="rId24" display="Link"/>
    <hyperlink ref="M26" r:id="rId25" display="Link"/>
    <hyperlink ref="M27" r:id="rId26" display="Link"/>
    <hyperlink ref="M28" r:id="rId27" display="Link"/>
    <hyperlink ref="M29" r:id="rId28" display="Link"/>
    <hyperlink ref="M30" r:id="rId29" display="Link"/>
    <hyperlink ref="M31" r:id="rId30" display="Link"/>
    <hyperlink ref="M32" r:id="rId31" display="Link"/>
    <hyperlink ref="M33" r:id="rId32" display="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4296875" defaultRowHeight="15" zeroHeight="false" outlineLevelRow="0" outlineLevelCol="0"/>
  <cols>
    <col collapsed="false" customWidth="true" hidden="false" outlineLevel="0" max="1" min="1" style="33" width="10.09"/>
    <col collapsed="false" customWidth="true" hidden="false" outlineLevel="0" max="2" min="2" style="33" width="16.54"/>
    <col collapsed="false" customWidth="true" hidden="false" outlineLevel="0" max="3" min="3" style="33" width="74.63"/>
    <col collapsed="false" customWidth="true" hidden="false" outlineLevel="0" max="4" min="4" style="33" width="4"/>
    <col collapsed="false" customWidth="true" hidden="false" outlineLevel="0" max="5" min="5" style="33" width="27.73"/>
    <col collapsed="false" customWidth="true" hidden="false" outlineLevel="0" max="6" min="6" style="33" width="12"/>
    <col collapsed="false" customWidth="true" hidden="false" outlineLevel="0" max="8" min="7" style="33" width="13.73"/>
    <col collapsed="false" customWidth="true" hidden="false" outlineLevel="0" max="9" min="9" style="33" width="12"/>
    <col collapsed="false" customWidth="true" hidden="false" outlineLevel="0" max="10" min="10" style="33" width="9.27"/>
    <col collapsed="false" customWidth="true" hidden="false" outlineLevel="0" max="12" min="11" style="33" width="13.73"/>
    <col collapsed="false" customWidth="false" hidden="false" outlineLevel="0" max="16384" min="13" style="33" width="8.54"/>
  </cols>
  <sheetData>
    <row r="1" customFormat="false" ht="15" hidden="false" customHeight="false" outlineLevel="0" collapsed="false">
      <c r="A1" s="2" t="s">
        <v>593</v>
      </c>
      <c r="B1" s="2" t="s">
        <v>1</v>
      </c>
      <c r="C1" s="2" t="s">
        <v>3</v>
      </c>
      <c r="D1" s="2" t="s">
        <v>596</v>
      </c>
      <c r="E1" s="2" t="s">
        <v>4</v>
      </c>
      <c r="F1" s="2" t="s">
        <v>759</v>
      </c>
      <c r="G1" s="2" t="s">
        <v>597</v>
      </c>
      <c r="H1" s="2" t="s">
        <v>760</v>
      </c>
      <c r="I1" s="2" t="s">
        <v>599</v>
      </c>
      <c r="J1" s="2" t="s">
        <v>600</v>
      </c>
      <c r="K1" s="2" t="s">
        <v>601</v>
      </c>
      <c r="L1" s="2" t="s">
        <v>603</v>
      </c>
    </row>
    <row r="2" customFormat="false" ht="15" hidden="false" customHeight="false" outlineLevel="0" collapsed="false">
      <c r="A2" s="46" t="n">
        <v>45414</v>
      </c>
      <c r="B2" s="4" t="s">
        <v>255</v>
      </c>
      <c r="C2" s="69" t="str">
        <f aca="false">VLOOKUP(B2,'Component Master'!B:D,3,0)</f>
        <v>Here3+</v>
      </c>
      <c r="D2" s="4" t="n">
        <v>3</v>
      </c>
      <c r="E2" s="17" t="s">
        <v>245</v>
      </c>
      <c r="F2" s="46" t="n">
        <v>45411</v>
      </c>
      <c r="G2" s="47" t="n">
        <v>20000</v>
      </c>
      <c r="H2" s="47" t="n">
        <f aca="false">G2*D2</f>
        <v>60000</v>
      </c>
      <c r="I2" s="47" t="n">
        <f aca="false">0.05*H2</f>
        <v>3000</v>
      </c>
      <c r="J2" s="47" t="n">
        <v>0</v>
      </c>
      <c r="K2" s="47" t="n">
        <f aca="false">H2+I2+J2</f>
        <v>63000</v>
      </c>
      <c r="L2" s="14" t="s">
        <v>697</v>
      </c>
    </row>
    <row r="3" customFormat="false" ht="15" hidden="false" customHeight="false" outlineLevel="0" collapsed="false">
      <c r="A3" s="46" t="n">
        <v>45414</v>
      </c>
      <c r="B3" s="4" t="s">
        <v>416</v>
      </c>
      <c r="C3" s="69" t="str">
        <f aca="false">VLOOKUP(B3,'Component Master'!B:D,3,0)</f>
        <v>400mm*380mm*3mm</v>
      </c>
      <c r="D3" s="4" t="n">
        <v>4</v>
      </c>
      <c r="E3" s="17" t="s">
        <v>38</v>
      </c>
      <c r="F3" s="46" t="n">
        <v>45414</v>
      </c>
      <c r="G3" s="47" t="n">
        <v>4907</v>
      </c>
      <c r="H3" s="47" t="n">
        <f aca="false">G3*D3</f>
        <v>19628</v>
      </c>
      <c r="I3" s="47" t="n">
        <f aca="false">0.05*H3</f>
        <v>981.4</v>
      </c>
      <c r="J3" s="47" t="n">
        <v>0</v>
      </c>
      <c r="K3" s="47" t="n">
        <f aca="false">H3+I3+J3</f>
        <v>20609.4</v>
      </c>
      <c r="L3" s="14" t="s">
        <v>687</v>
      </c>
    </row>
    <row r="4" customFormat="false" ht="15" hidden="false" customHeight="false" outlineLevel="0" collapsed="false">
      <c r="A4" s="46" t="n">
        <v>45416</v>
      </c>
      <c r="B4" s="4" t="s">
        <v>418</v>
      </c>
      <c r="C4" s="69" t="str">
        <f aca="false">VLOOKUP(B4,'Component Master'!B:D,3,0)</f>
        <v>3.5mm Male Female Banana Plug Bullet Connector (Pack of 10)</v>
      </c>
      <c r="D4" s="4" t="n">
        <v>2</v>
      </c>
      <c r="E4" s="17" t="s">
        <v>420</v>
      </c>
      <c r="F4" s="46" t="n">
        <v>45411</v>
      </c>
      <c r="G4" s="47" t="n">
        <v>217</v>
      </c>
      <c r="H4" s="47" t="n">
        <f aca="false">G4*D4</f>
        <v>434</v>
      </c>
      <c r="I4" s="47" t="n">
        <v>0</v>
      </c>
      <c r="J4" s="47" t="n">
        <v>100</v>
      </c>
      <c r="K4" s="47" t="n">
        <f aca="false">H4+I4+J4</f>
        <v>534</v>
      </c>
      <c r="L4" s="14" t="s">
        <v>697</v>
      </c>
    </row>
    <row r="5" customFormat="false" ht="15" hidden="false" customHeight="false" outlineLevel="0" collapsed="false">
      <c r="A5" s="46" t="n">
        <v>45416</v>
      </c>
      <c r="B5" s="4" t="s">
        <v>421</v>
      </c>
      <c r="C5" s="69" t="str">
        <f aca="false">VLOOKUP(B5,'Component Master'!B:D,3,0)</f>
        <v>Amass XT90E-M male connector</v>
      </c>
      <c r="D5" s="4" t="n">
        <v>1</v>
      </c>
      <c r="E5" s="17" t="s">
        <v>423</v>
      </c>
      <c r="F5" s="46" t="n">
        <v>45413</v>
      </c>
      <c r="G5" s="47" t="n">
        <v>83.9</v>
      </c>
      <c r="H5" s="47" t="n">
        <f aca="false">G5*D5</f>
        <v>83.9</v>
      </c>
      <c r="I5" s="47" t="n">
        <f aca="false">0.18*H5</f>
        <v>15.102</v>
      </c>
      <c r="J5" s="47" t="n">
        <v>79</v>
      </c>
      <c r="K5" s="47" t="n">
        <f aca="false">H5+I5+J5</f>
        <v>178.002</v>
      </c>
      <c r="L5" s="14" t="s">
        <v>697</v>
      </c>
    </row>
    <row r="6" customFormat="false" ht="15" hidden="false" customHeight="false" outlineLevel="0" collapsed="false">
      <c r="A6" s="46" t="n">
        <v>45418</v>
      </c>
      <c r="B6" s="4" t="s">
        <v>191</v>
      </c>
      <c r="C6" s="69" t="str">
        <f aca="false">VLOOKUP(B6,'Component Master'!B:D,3,0)</f>
        <v>Air 40 Amps</v>
      </c>
      <c r="D6" s="4" t="n">
        <v>8</v>
      </c>
      <c r="E6" s="17" t="s">
        <v>245</v>
      </c>
      <c r="F6" s="46" t="n">
        <v>45414</v>
      </c>
      <c r="G6" s="47" t="n">
        <v>2800</v>
      </c>
      <c r="H6" s="47" t="n">
        <f aca="false">G6*D6</f>
        <v>22400</v>
      </c>
      <c r="I6" s="47" t="n">
        <f aca="false">0.05*H6</f>
        <v>1120</v>
      </c>
      <c r="J6" s="47" t="n">
        <v>0</v>
      </c>
      <c r="K6" s="47" t="n">
        <f aca="false">H6+I6+J6</f>
        <v>23520</v>
      </c>
      <c r="L6" s="17" t="s">
        <v>697</v>
      </c>
    </row>
    <row r="7" customFormat="false" ht="15" hidden="false" customHeight="false" outlineLevel="0" collapsed="false">
      <c r="A7" s="46" t="n">
        <v>45418</v>
      </c>
      <c r="B7" s="4" t="s">
        <v>242</v>
      </c>
      <c r="C7" s="69" t="str">
        <f aca="false">VLOOKUP(B7,'Component Master'!B:D,3,0)</f>
        <v>PIXHAWK_CUBE Orange+ with ADSB Set</v>
      </c>
      <c r="D7" s="4" t="n">
        <v>3</v>
      </c>
      <c r="E7" s="17" t="s">
        <v>245</v>
      </c>
      <c r="F7" s="46" t="n">
        <v>45415</v>
      </c>
      <c r="G7" s="47" t="n">
        <v>30000</v>
      </c>
      <c r="H7" s="47" t="n">
        <f aca="false">G7*D7</f>
        <v>90000</v>
      </c>
      <c r="I7" s="47" t="n">
        <f aca="false">0.05*G7</f>
        <v>1500</v>
      </c>
      <c r="J7" s="47" t="n">
        <v>0</v>
      </c>
      <c r="K7" s="47" t="n">
        <f aca="false">H7+I7+J7</f>
        <v>91500</v>
      </c>
      <c r="L7" s="17" t="s">
        <v>761</v>
      </c>
    </row>
    <row r="8" customFormat="false" ht="15" hidden="false" customHeight="false" outlineLevel="0" collapsed="false">
      <c r="A8" s="70" t="n">
        <v>45419</v>
      </c>
      <c r="B8" s="4" t="s">
        <v>95</v>
      </c>
      <c r="C8" s="69" t="str">
        <f aca="false">VLOOKUP(B8,'Component Master'!B:D,3,0)</f>
        <v>Alind water jet cutting</v>
      </c>
      <c r="D8" s="71" t="n">
        <v>1</v>
      </c>
      <c r="E8" s="17" t="s">
        <v>98</v>
      </c>
      <c r="F8" s="46" t="n">
        <v>45419</v>
      </c>
      <c r="G8" s="47" t="n">
        <v>1013</v>
      </c>
      <c r="H8" s="47" t="n">
        <f aca="false">G8*D8</f>
        <v>1013</v>
      </c>
      <c r="I8" s="47" t="n">
        <f aca="false">0.12*H8</f>
        <v>121.56</v>
      </c>
      <c r="J8" s="47" t="n">
        <v>0</v>
      </c>
      <c r="K8" s="47" t="n">
        <f aca="false">H8+I8+J8</f>
        <v>1134.56</v>
      </c>
      <c r="L8" s="17" t="s">
        <v>687</v>
      </c>
    </row>
    <row r="9" customFormat="false" ht="15" hidden="false" customHeight="false" outlineLevel="0" collapsed="false">
      <c r="A9" s="70" t="n">
        <v>45419</v>
      </c>
      <c r="B9" s="4" t="s">
        <v>95</v>
      </c>
      <c r="C9" s="69" t="str">
        <f aca="false">VLOOKUP(B9,'Component Master'!B:D,3,0)</f>
        <v>Alind water jet cutting</v>
      </c>
      <c r="D9" s="71" t="n">
        <v>4</v>
      </c>
      <c r="E9" s="17" t="s">
        <v>98</v>
      </c>
      <c r="F9" s="46" t="n">
        <v>45419</v>
      </c>
      <c r="G9" s="47" t="n">
        <v>1052</v>
      </c>
      <c r="H9" s="47" t="n">
        <f aca="false">G9*D9</f>
        <v>4208</v>
      </c>
      <c r="I9" s="47" t="n">
        <f aca="false">0.12*H9</f>
        <v>504.96</v>
      </c>
      <c r="J9" s="47" t="n">
        <v>0</v>
      </c>
      <c r="K9" s="47" t="n">
        <f aca="false">H9+I9+J9</f>
        <v>4712.96</v>
      </c>
      <c r="L9" s="17" t="s">
        <v>687</v>
      </c>
    </row>
    <row r="10" customFormat="false" ht="15" hidden="false" customHeight="false" outlineLevel="0" collapsed="false">
      <c r="A10" s="70" t="n">
        <v>45419</v>
      </c>
      <c r="B10" s="4" t="s">
        <v>95</v>
      </c>
      <c r="C10" s="69" t="str">
        <f aca="false">VLOOKUP(B10,'Component Master'!B:D,3,0)</f>
        <v>Alind water jet cutting</v>
      </c>
      <c r="D10" s="71" t="n">
        <v>4</v>
      </c>
      <c r="E10" s="17" t="s">
        <v>98</v>
      </c>
      <c r="F10" s="46" t="n">
        <v>45419</v>
      </c>
      <c r="G10" s="47" t="n">
        <v>1048</v>
      </c>
      <c r="H10" s="47" t="n">
        <f aca="false">G10*D10</f>
        <v>4192</v>
      </c>
      <c r="I10" s="47" t="n">
        <f aca="false">0.12*H10</f>
        <v>503.04</v>
      </c>
      <c r="J10" s="47" t="n">
        <v>0</v>
      </c>
      <c r="K10" s="47" t="n">
        <f aca="false">H10+I10+J10</f>
        <v>4695.04</v>
      </c>
      <c r="L10" s="17" t="s">
        <v>687</v>
      </c>
    </row>
    <row r="11" customFormat="false" ht="15" hidden="false" customHeight="false" outlineLevel="0" collapsed="false">
      <c r="A11" s="70" t="n">
        <v>45419</v>
      </c>
      <c r="B11" s="4" t="s">
        <v>95</v>
      </c>
      <c r="C11" s="69" t="str">
        <f aca="false">VLOOKUP(B11,'Component Master'!B:D,3,0)</f>
        <v>Alind water jet cutting</v>
      </c>
      <c r="D11" s="71" t="n">
        <v>8</v>
      </c>
      <c r="E11" s="17" t="s">
        <v>98</v>
      </c>
      <c r="F11" s="46" t="n">
        <v>45419</v>
      </c>
      <c r="G11" s="47" t="n">
        <v>1632</v>
      </c>
      <c r="H11" s="47" t="n">
        <f aca="false">G11*D11</f>
        <v>13056</v>
      </c>
      <c r="I11" s="47" t="n">
        <f aca="false">0.12*H11</f>
        <v>1566.72</v>
      </c>
      <c r="J11" s="47" t="n">
        <v>0</v>
      </c>
      <c r="K11" s="47" t="n">
        <f aca="false">H11+I11+J11</f>
        <v>14622.72</v>
      </c>
      <c r="L11" s="17" t="s">
        <v>687</v>
      </c>
    </row>
    <row r="12" customFormat="false" ht="15" hidden="false" customHeight="false" outlineLevel="0" collapsed="false">
      <c r="A12" s="70" t="n">
        <v>45419</v>
      </c>
      <c r="B12" s="4" t="s">
        <v>95</v>
      </c>
      <c r="C12" s="69" t="str">
        <f aca="false">VLOOKUP(B12,'Component Master'!B:D,3,0)</f>
        <v>Alind water jet cutting</v>
      </c>
      <c r="D12" s="71" t="n">
        <v>1</v>
      </c>
      <c r="E12" s="17" t="s">
        <v>98</v>
      </c>
      <c r="F12" s="46" t="n">
        <v>45419</v>
      </c>
      <c r="G12" s="47" t="n">
        <v>896</v>
      </c>
      <c r="H12" s="47" t="n">
        <f aca="false">G12*D12</f>
        <v>896</v>
      </c>
      <c r="I12" s="47" t="n">
        <f aca="false">0.12*H12</f>
        <v>107.52</v>
      </c>
      <c r="J12" s="47" t="n">
        <v>0</v>
      </c>
      <c r="K12" s="47" t="n">
        <f aca="false">H12+I12+J12</f>
        <v>1003.52</v>
      </c>
      <c r="L12" s="17" t="s">
        <v>687</v>
      </c>
    </row>
    <row r="13" customFormat="false" ht="15" hidden="false" customHeight="false" outlineLevel="0" collapsed="false">
      <c r="A13" s="70" t="n">
        <v>45421</v>
      </c>
      <c r="B13" s="4" t="s">
        <v>453</v>
      </c>
      <c r="C13" s="69" t="str">
        <f aca="false">VLOOKUP(B13,'Component Master'!B:D,3,0)</f>
        <v>Hobbywing X6 Pro motor CW</v>
      </c>
      <c r="D13" s="71" t="n">
        <v>3</v>
      </c>
      <c r="E13" s="17" t="s">
        <v>762</v>
      </c>
      <c r="F13" s="46" t="n">
        <v>45421</v>
      </c>
      <c r="G13" s="47" t="n">
        <v>13900</v>
      </c>
      <c r="H13" s="47" t="n">
        <f aca="false">G13*D13</f>
        <v>41700</v>
      </c>
      <c r="I13" s="47" t="n">
        <f aca="false">0.05*H13</f>
        <v>2085</v>
      </c>
      <c r="J13" s="47" t="n">
        <v>0</v>
      </c>
      <c r="K13" s="47" t="n">
        <f aca="false">H13+I13+J13</f>
        <v>43785</v>
      </c>
      <c r="L13" s="17" t="s">
        <v>763</v>
      </c>
    </row>
    <row r="14" customFormat="false" ht="15" hidden="false" customHeight="false" outlineLevel="0" collapsed="false">
      <c r="A14" s="70" t="n">
        <v>45421</v>
      </c>
      <c r="B14" s="4" t="s">
        <v>456</v>
      </c>
      <c r="C14" s="69" t="str">
        <f aca="false">VLOOKUP(B14,'Component Master'!B:D,3,0)</f>
        <v>Hobbywing X6 Pro motor CCW</v>
      </c>
      <c r="D14" s="71" t="n">
        <v>3</v>
      </c>
      <c r="E14" s="17" t="s">
        <v>762</v>
      </c>
      <c r="F14" s="46" t="n">
        <v>45421</v>
      </c>
      <c r="G14" s="47" t="n">
        <v>13900</v>
      </c>
      <c r="H14" s="47" t="n">
        <f aca="false">G14*D14</f>
        <v>41700</v>
      </c>
      <c r="I14" s="47" t="n">
        <f aca="false">0.05*H14</f>
        <v>2085</v>
      </c>
      <c r="J14" s="47" t="n">
        <v>0</v>
      </c>
      <c r="K14" s="47" t="n">
        <f aca="false">H14+I14+J14</f>
        <v>43785</v>
      </c>
      <c r="L14" s="17" t="s">
        <v>763</v>
      </c>
    </row>
    <row r="15" customFormat="false" ht="15" hidden="false" customHeight="false" outlineLevel="0" collapsed="false">
      <c r="A15" s="70" t="n">
        <v>45421</v>
      </c>
      <c r="B15" s="4" t="s">
        <v>424</v>
      </c>
      <c r="C15" s="69" t="str">
        <f aca="false">VLOOKUP(B15,'Component Master'!B:D,3,0)</f>
        <v>2388 inch Propellers</v>
      </c>
      <c r="D15" s="71" t="n">
        <v>9</v>
      </c>
      <c r="E15" s="17" t="s">
        <v>762</v>
      </c>
      <c r="F15" s="46" t="n">
        <v>45421</v>
      </c>
      <c r="G15" s="47" t="n">
        <v>1413</v>
      </c>
      <c r="H15" s="47" t="n">
        <f aca="false">G15*D15</f>
        <v>12717</v>
      </c>
      <c r="I15" s="47" t="n">
        <f aca="false">0.05*H15</f>
        <v>635.85</v>
      </c>
      <c r="J15" s="47" t="n">
        <v>0</v>
      </c>
      <c r="K15" s="47" t="n">
        <f aca="false">H15+I15+J15</f>
        <v>13352.85</v>
      </c>
      <c r="L15" s="17" t="s">
        <v>763</v>
      </c>
    </row>
    <row r="16" customFormat="false" ht="15" hidden="false" customHeight="false" outlineLevel="0" collapsed="false">
      <c r="A16" s="70" t="n">
        <v>45421</v>
      </c>
      <c r="B16" s="4" t="s">
        <v>458</v>
      </c>
      <c r="C16" s="69" t="str">
        <f aca="false">VLOOKUP(B16,'Component Master'!B:D,3,0)</f>
        <v>GPS Stand-Agri</v>
      </c>
      <c r="D16" s="71" t="n">
        <v>1</v>
      </c>
      <c r="E16" s="17" t="s">
        <v>762</v>
      </c>
      <c r="F16" s="46" t="n">
        <v>45421</v>
      </c>
      <c r="G16" s="47" t="n">
        <v>388</v>
      </c>
      <c r="H16" s="47" t="n">
        <f aca="false">G16*D16</f>
        <v>388</v>
      </c>
      <c r="I16" s="47" t="n">
        <f aca="false">0.05*H16</f>
        <v>19.4</v>
      </c>
      <c r="J16" s="47" t="n">
        <v>0</v>
      </c>
      <c r="K16" s="47" t="n">
        <f aca="false">H16+I16+J16</f>
        <v>407.4</v>
      </c>
      <c r="L16" s="17" t="s">
        <v>687</v>
      </c>
    </row>
    <row r="17" customFormat="false" ht="15" hidden="false" customHeight="false" outlineLevel="0" collapsed="false">
      <c r="A17" s="70" t="n">
        <v>45422</v>
      </c>
      <c r="B17" s="4" t="s">
        <v>395</v>
      </c>
      <c r="C17" s="69" t="str">
        <f aca="false">VLOOKUP(B17,'Component Master'!B:D,3,0)</f>
        <v>Flysky FS-i6S 2.4GHz 10CH AFHDS 2A RC Transmitter With FS-iA10B 10CH Receiver</v>
      </c>
      <c r="D17" s="71" t="n">
        <v>1</v>
      </c>
      <c r="E17" s="17" t="s">
        <v>70</v>
      </c>
      <c r="F17" s="46" t="n">
        <v>45420</v>
      </c>
      <c r="G17" s="47" t="n">
        <v>4809.52</v>
      </c>
      <c r="H17" s="47" t="n">
        <f aca="false">G17*D17</f>
        <v>4809.52</v>
      </c>
      <c r="I17" s="47" t="n">
        <f aca="false">0.05*H17</f>
        <v>240.476</v>
      </c>
      <c r="J17" s="47" t="n">
        <v>40.57</v>
      </c>
      <c r="K17" s="47" t="n">
        <f aca="false">H17+I17+J17</f>
        <v>5090.566</v>
      </c>
      <c r="L17" s="17" t="s">
        <v>763</v>
      </c>
    </row>
    <row r="18" customFormat="false" ht="15" hidden="false" customHeight="false" outlineLevel="0" collapsed="false">
      <c r="A18" s="70" t="n">
        <v>45422</v>
      </c>
      <c r="B18" s="4" t="s">
        <v>443</v>
      </c>
      <c r="C18" s="69" t="str">
        <f aca="false">VLOOKUP(B18,'Component Master'!B:D,3,0)</f>
        <v>Hall Sensor</v>
      </c>
      <c r="D18" s="71" t="n">
        <v>1</v>
      </c>
      <c r="E18" s="17" t="s">
        <v>70</v>
      </c>
      <c r="F18" s="46" t="n">
        <v>45420</v>
      </c>
      <c r="G18" s="47" t="n">
        <v>25571.43</v>
      </c>
      <c r="H18" s="47" t="n">
        <f aca="false">G18*D18</f>
        <v>25571.43</v>
      </c>
      <c r="I18" s="47" t="n">
        <f aca="false">0.05*H18</f>
        <v>1278.5715</v>
      </c>
      <c r="J18" s="72" t="n">
        <v>40.57</v>
      </c>
      <c r="K18" s="47" t="n">
        <f aca="false">H18+I18+J18</f>
        <v>26890.5715</v>
      </c>
      <c r="L18" s="17" t="s">
        <v>763</v>
      </c>
    </row>
    <row r="19" customFormat="false" ht="15" hidden="false" customHeight="false" outlineLevel="0" collapsed="false">
      <c r="A19" s="70" t="n">
        <v>45422</v>
      </c>
      <c r="B19" s="4" t="s">
        <v>75</v>
      </c>
      <c r="C19" s="69" t="str">
        <f aca="false">VLOOKUP(B19,'Component Master'!B:D,3,0)</f>
        <v>Pixhawk Dampner plate</v>
      </c>
      <c r="D19" s="71" t="n">
        <v>4</v>
      </c>
      <c r="E19" s="17" t="s">
        <v>70</v>
      </c>
      <c r="F19" s="46" t="n">
        <v>45420</v>
      </c>
      <c r="G19" s="47" t="n">
        <v>148.305</v>
      </c>
      <c r="H19" s="47" t="n">
        <f aca="false">G19*D19</f>
        <v>593.22</v>
      </c>
      <c r="I19" s="47" t="n">
        <f aca="false">0.18*H19</f>
        <v>106.7796</v>
      </c>
      <c r="J19" s="72" t="n">
        <v>40.57</v>
      </c>
      <c r="K19" s="47" t="n">
        <f aca="false">H19+I19+J19</f>
        <v>740.5696</v>
      </c>
      <c r="L19" s="17" t="s">
        <v>763</v>
      </c>
    </row>
    <row r="20" customFormat="false" ht="15" hidden="false" customHeight="false" outlineLevel="0" collapsed="false">
      <c r="A20" s="70" t="n">
        <v>45422</v>
      </c>
      <c r="B20" s="4" t="s">
        <v>447</v>
      </c>
      <c r="C20" s="69" t="str">
        <f aca="false">VLOOKUP(B20,'Component Master'!B:D,3,0)</f>
        <v>High Quality Ultra Flexible 8AWG Silicon Wire 2m (Black)</v>
      </c>
      <c r="D20" s="71" t="n">
        <v>2</v>
      </c>
      <c r="E20" s="17" t="s">
        <v>70</v>
      </c>
      <c r="F20" s="46" t="n">
        <v>45420</v>
      </c>
      <c r="G20" s="47" t="n">
        <v>555.085</v>
      </c>
      <c r="H20" s="47" t="n">
        <f aca="false">G20*D20</f>
        <v>1110.17</v>
      </c>
      <c r="I20" s="47" t="n">
        <f aca="false">0.18*H20</f>
        <v>199.8306</v>
      </c>
      <c r="J20" s="72" t="n">
        <v>40.57</v>
      </c>
      <c r="K20" s="47" t="n">
        <f aca="false">H20+I20+J20</f>
        <v>1350.5706</v>
      </c>
      <c r="L20" s="17" t="s">
        <v>763</v>
      </c>
    </row>
    <row r="21" customFormat="false" ht="15" hidden="false" customHeight="false" outlineLevel="0" collapsed="false">
      <c r="A21" s="70" t="n">
        <v>45422</v>
      </c>
      <c r="B21" s="4" t="s">
        <v>449</v>
      </c>
      <c r="C21" s="69" t="str">
        <f aca="false">VLOOKUP(B21,'Component Master'!B:D,3,0)</f>
        <v>Amass XT60-U Female Bullet Connector</v>
      </c>
      <c r="D21" s="71" t="n">
        <v>10</v>
      </c>
      <c r="E21" s="17" t="s">
        <v>70</v>
      </c>
      <c r="F21" s="46" t="n">
        <v>45420</v>
      </c>
      <c r="G21" s="47" t="n">
        <v>29.661</v>
      </c>
      <c r="H21" s="47" t="n">
        <f aca="false">G21*D21</f>
        <v>296.61</v>
      </c>
      <c r="I21" s="47" t="n">
        <f aca="false">0.18*H21</f>
        <v>53.3898</v>
      </c>
      <c r="J21" s="72" t="n">
        <v>40.57</v>
      </c>
      <c r="K21" s="47" t="n">
        <f aca="false">H21+I21+J21</f>
        <v>390.5698</v>
      </c>
      <c r="L21" s="17" t="s">
        <v>763</v>
      </c>
    </row>
    <row r="22" customFormat="false" ht="15" hidden="false" customHeight="false" outlineLevel="0" collapsed="false">
      <c r="A22" s="70" t="n">
        <v>45422</v>
      </c>
      <c r="B22" s="4" t="s">
        <v>451</v>
      </c>
      <c r="C22" s="69" t="str">
        <f aca="false">VLOOKUP(B22,'Component Master'!B:D,3,0)</f>
        <v>Amass XT60-U Male Bullet Connector</v>
      </c>
      <c r="D22" s="71" t="n">
        <v>10</v>
      </c>
      <c r="E22" s="17" t="s">
        <v>70</v>
      </c>
      <c r="F22" s="46" t="n">
        <v>45420</v>
      </c>
      <c r="G22" s="47" t="n">
        <v>29.661</v>
      </c>
      <c r="H22" s="47" t="n">
        <f aca="false">G22*D22</f>
        <v>296.61</v>
      </c>
      <c r="I22" s="47" t="n">
        <f aca="false">0.18*H22</f>
        <v>53.3898</v>
      </c>
      <c r="J22" s="72" t="n">
        <v>40.57</v>
      </c>
      <c r="K22" s="47" t="n">
        <f aca="false">H22+I22+J22</f>
        <v>390.5698</v>
      </c>
      <c r="L22" s="17" t="s">
        <v>763</v>
      </c>
    </row>
    <row r="23" customFormat="false" ht="15" hidden="false" customHeight="false" outlineLevel="0" collapsed="false">
      <c r="A23" s="70" t="n">
        <v>45422</v>
      </c>
      <c r="B23" s="4" t="s">
        <v>439</v>
      </c>
      <c r="C23" s="69" t="str">
        <f aca="false">VLOOKUP(B23,'Component Master'!B:D,3,0)</f>
        <v>CF Sheet 500*500mm*3mm</v>
      </c>
      <c r="D23" s="71" t="n">
        <v>2</v>
      </c>
      <c r="E23" s="17" t="s">
        <v>70</v>
      </c>
      <c r="F23" s="46" t="n">
        <v>45420</v>
      </c>
      <c r="G23" s="47" t="n">
        <v>7428.815</v>
      </c>
      <c r="H23" s="47" t="n">
        <f aca="false">G23*D23</f>
        <v>14857.63</v>
      </c>
      <c r="I23" s="47" t="n">
        <f aca="false">0.18*H23</f>
        <v>2674.3734</v>
      </c>
      <c r="J23" s="72" t="n">
        <v>40.57</v>
      </c>
      <c r="K23" s="47" t="n">
        <f aca="false">H23+I23+J23</f>
        <v>17572.5734</v>
      </c>
      <c r="L23" s="17" t="s">
        <v>763</v>
      </c>
    </row>
    <row r="24" customFormat="false" ht="15" hidden="false" customHeight="false" outlineLevel="0" collapsed="false">
      <c r="A24" s="70" t="n">
        <v>45426</v>
      </c>
      <c r="B24" s="4" t="s">
        <v>103</v>
      </c>
      <c r="C24" s="69" t="str">
        <f aca="false">VLOOKUP(B24,'Component Master'!B:D,3,0)</f>
        <v>3D Printed Parts</v>
      </c>
      <c r="D24" s="17" t="n">
        <v>2</v>
      </c>
      <c r="E24" s="17" t="s">
        <v>102</v>
      </c>
      <c r="F24" s="46" t="n">
        <v>45425</v>
      </c>
      <c r="G24" s="47" t="n">
        <v>282.9</v>
      </c>
      <c r="H24" s="47" t="n">
        <f aca="false">G24*D24</f>
        <v>565.8</v>
      </c>
      <c r="I24" s="47" t="n">
        <f aca="false">0.18*H24</f>
        <v>101.844</v>
      </c>
      <c r="J24" s="72" t="n">
        <v>0</v>
      </c>
      <c r="K24" s="47" t="n">
        <f aca="false">H24+I24+J24</f>
        <v>667.644</v>
      </c>
      <c r="L24" s="17" t="s">
        <v>687</v>
      </c>
    </row>
    <row r="25" customFormat="false" ht="15" hidden="false" customHeight="false" outlineLevel="0" collapsed="false">
      <c r="A25" s="70" t="n">
        <v>45426</v>
      </c>
      <c r="B25" s="4" t="s">
        <v>103</v>
      </c>
      <c r="C25" s="69" t="str">
        <f aca="false">VLOOKUP(B25,'Component Master'!B:D,3,0)</f>
        <v>3D Printed Parts</v>
      </c>
      <c r="D25" s="17" t="n">
        <v>2</v>
      </c>
      <c r="E25" s="17" t="s">
        <v>102</v>
      </c>
      <c r="F25" s="46" t="n">
        <v>45425</v>
      </c>
      <c r="G25" s="47" t="n">
        <v>2492.8</v>
      </c>
      <c r="H25" s="47" t="n">
        <f aca="false">G25*D25</f>
        <v>4985.6</v>
      </c>
      <c r="I25" s="47" t="n">
        <f aca="false">0.18*H25</f>
        <v>897.408</v>
      </c>
      <c r="J25" s="72" t="n">
        <v>0</v>
      </c>
      <c r="K25" s="47" t="n">
        <f aca="false">H25+I25+J25</f>
        <v>5883.008</v>
      </c>
      <c r="L25" s="17" t="s">
        <v>687</v>
      </c>
    </row>
    <row r="26" customFormat="false" ht="15" hidden="false" customHeight="false" outlineLevel="0" collapsed="false">
      <c r="A26" s="70" t="n">
        <v>45428</v>
      </c>
      <c r="B26" s="4" t="s">
        <v>103</v>
      </c>
      <c r="C26" s="69" t="str">
        <f aca="false">VLOOKUP(B26,'Component Master'!B:D,3,0)</f>
        <v>3D Printed Parts</v>
      </c>
      <c r="D26" s="17" t="n">
        <v>1</v>
      </c>
      <c r="E26" s="17" t="s">
        <v>500</v>
      </c>
      <c r="F26" s="46" t="n">
        <v>45428</v>
      </c>
      <c r="G26" s="47" t="n">
        <v>21750</v>
      </c>
      <c r="H26" s="47" t="n">
        <f aca="false">G26*D26</f>
        <v>21750</v>
      </c>
      <c r="I26" s="47" t="n">
        <f aca="false">0.18*H26</f>
        <v>3915</v>
      </c>
      <c r="J26" s="72" t="n">
        <v>118</v>
      </c>
      <c r="K26" s="47" t="n">
        <f aca="false">H26+I26+J26</f>
        <v>25783</v>
      </c>
      <c r="L26" s="17" t="s">
        <v>687</v>
      </c>
    </row>
    <row r="27" customFormat="false" ht="15" hidden="false" customHeight="false" outlineLevel="0" collapsed="false">
      <c r="A27" s="70" t="n">
        <v>45428</v>
      </c>
      <c r="B27" s="4" t="s">
        <v>103</v>
      </c>
      <c r="C27" s="69" t="str">
        <f aca="false">VLOOKUP(B27,'Component Master'!B:D,3,0)</f>
        <v>3D Printed Parts</v>
      </c>
      <c r="D27" s="17" t="n">
        <v>1</v>
      </c>
      <c r="E27" s="17" t="s">
        <v>500</v>
      </c>
      <c r="F27" s="46" t="n">
        <v>45428</v>
      </c>
      <c r="G27" s="47" t="n">
        <v>6300</v>
      </c>
      <c r="H27" s="47" t="n">
        <v>6300</v>
      </c>
      <c r="I27" s="47" t="n">
        <f aca="false">0.18*H27</f>
        <v>1134</v>
      </c>
      <c r="J27" s="72" t="n">
        <v>118</v>
      </c>
      <c r="K27" s="47" t="n">
        <f aca="false">H27+I27+J27</f>
        <v>7552</v>
      </c>
      <c r="L27" s="17" t="s">
        <v>687</v>
      </c>
    </row>
    <row r="28" customFormat="false" ht="15" hidden="false" customHeight="false" outlineLevel="0" collapsed="false">
      <c r="A28" s="70" t="n">
        <v>45429</v>
      </c>
      <c r="B28" s="4" t="s">
        <v>443</v>
      </c>
      <c r="C28" s="69" t="str">
        <f aca="false">VLOOKUP(B28,'Component Master'!B:D,3,0)</f>
        <v>Hall Sensor</v>
      </c>
      <c r="D28" s="17" t="n">
        <v>3</v>
      </c>
      <c r="E28" s="17" t="s">
        <v>245</v>
      </c>
      <c r="F28" s="46" t="n">
        <v>45426</v>
      </c>
      <c r="G28" s="47" t="n">
        <v>4420</v>
      </c>
      <c r="H28" s="47" t="n">
        <f aca="false">G28*D28</f>
        <v>13260</v>
      </c>
      <c r="I28" s="47" t="n">
        <f aca="false">0.05*H28</f>
        <v>663</v>
      </c>
      <c r="J28" s="72" t="n">
        <v>0</v>
      </c>
      <c r="K28" s="47" t="n">
        <f aca="false">H28+I28+J28</f>
        <v>13923</v>
      </c>
      <c r="L28" s="17" t="s">
        <v>687</v>
      </c>
    </row>
    <row r="29" customFormat="false" ht="15" hidden="false" customHeight="false" outlineLevel="0" collapsed="false">
      <c r="A29" s="70" t="n">
        <v>45429</v>
      </c>
      <c r="B29" s="4" t="s">
        <v>464</v>
      </c>
      <c r="C29" s="69" t="str">
        <f aca="false">VLOOKUP(B29,'Component Master'!B:D,3,0)</f>
        <v>Water flow sensor-White</v>
      </c>
      <c r="D29" s="17" t="n">
        <v>2</v>
      </c>
      <c r="E29" s="17" t="s">
        <v>70</v>
      </c>
      <c r="F29" s="46" t="n">
        <v>45427</v>
      </c>
      <c r="G29" s="47" t="n">
        <v>189.83</v>
      </c>
      <c r="H29" s="47" t="n">
        <f aca="false">G29*D29</f>
        <v>379.66</v>
      </c>
      <c r="I29" s="47" t="n">
        <f aca="false">0.18*H29</f>
        <v>68.3388</v>
      </c>
      <c r="J29" s="72" t="n">
        <v>74</v>
      </c>
      <c r="K29" s="47" t="n">
        <f aca="false">H29+I29+J29</f>
        <v>521.9988</v>
      </c>
      <c r="L29" s="17" t="s">
        <v>687</v>
      </c>
    </row>
    <row r="30" customFormat="false" ht="15" hidden="false" customHeight="false" outlineLevel="0" collapsed="false">
      <c r="A30" s="70" t="n">
        <v>45430</v>
      </c>
      <c r="B30" s="4" t="s">
        <v>460</v>
      </c>
      <c r="C30" s="69" t="str">
        <f aca="false">VLOOKUP(B30,'Component Master'!B:D,3,0)</f>
        <v>Mauch 084: 4-14S BEC</v>
      </c>
      <c r="D30" s="17" t="n">
        <v>2</v>
      </c>
      <c r="E30" s="17" t="s">
        <v>245</v>
      </c>
      <c r="F30" s="46" t="n">
        <v>45427</v>
      </c>
      <c r="G30" s="47" t="n">
        <v>3900</v>
      </c>
      <c r="H30" s="47" t="n">
        <f aca="false">G30*D30</f>
        <v>7800</v>
      </c>
      <c r="I30" s="47" t="n">
        <f aca="false">0.05*H30</f>
        <v>390</v>
      </c>
      <c r="J30" s="72" t="n">
        <v>0</v>
      </c>
      <c r="K30" s="47" t="n">
        <f aca="false">H30+I30+J30</f>
        <v>8190</v>
      </c>
      <c r="L30" s="17" t="s">
        <v>687</v>
      </c>
    </row>
    <row r="31" customFormat="false" ht="15" hidden="false" customHeight="false" outlineLevel="0" collapsed="false">
      <c r="A31" s="70" t="n">
        <v>45430</v>
      </c>
      <c r="B31" s="4" t="s">
        <v>462</v>
      </c>
      <c r="C31" s="69" t="str">
        <f aca="false">VLOOKUP(B31,'Component Master'!B:D,3,0)</f>
        <v>Mauch 086: Adapter cable for Pixhawk 2</v>
      </c>
      <c r="D31" s="17" t="n">
        <v>2</v>
      </c>
      <c r="E31" s="17" t="s">
        <v>245</v>
      </c>
      <c r="F31" s="46" t="n">
        <v>45427</v>
      </c>
      <c r="G31" s="47" t="n">
        <v>500</v>
      </c>
      <c r="H31" s="47" t="n">
        <f aca="false">G31*D31</f>
        <v>1000</v>
      </c>
      <c r="I31" s="47" t="n">
        <f aca="false">0.05*H31</f>
        <v>50</v>
      </c>
      <c r="J31" s="72" t="n">
        <v>0</v>
      </c>
      <c r="K31" s="47" t="n">
        <f aca="false">H31+I31+J31</f>
        <v>1050</v>
      </c>
      <c r="L31" s="17" t="s">
        <v>687</v>
      </c>
    </row>
    <row r="32" customFormat="false" ht="15" hidden="false" customHeight="false" outlineLevel="0" collapsed="false">
      <c r="A32" s="70" t="n">
        <v>45432</v>
      </c>
      <c r="B32" s="4" t="s">
        <v>416</v>
      </c>
      <c r="C32" s="69" t="str">
        <f aca="false">VLOOKUP(B32,'Component Master'!B:D,3,0)</f>
        <v>400mm*380mm*3mm</v>
      </c>
      <c r="D32" s="17" t="n">
        <v>2</v>
      </c>
      <c r="E32" s="17" t="s">
        <v>38</v>
      </c>
      <c r="F32" s="46" t="n">
        <v>45430</v>
      </c>
      <c r="G32" s="47" t="n">
        <v>4907</v>
      </c>
      <c r="H32" s="47" t="n">
        <f aca="false">G32*D32</f>
        <v>9814</v>
      </c>
      <c r="I32" s="47" t="n">
        <f aca="false">0.18*H32</f>
        <v>1766.52</v>
      </c>
      <c r="J32" s="72" t="n">
        <v>0</v>
      </c>
      <c r="K32" s="47" t="n">
        <f aca="false">H32+I32+J32</f>
        <v>11580.52</v>
      </c>
      <c r="L32" s="17" t="s">
        <v>687</v>
      </c>
    </row>
    <row r="33" customFormat="false" ht="15" hidden="false" customHeight="false" outlineLevel="0" collapsed="false">
      <c r="A33" s="70" t="n">
        <v>45433</v>
      </c>
      <c r="B33" s="15" t="s">
        <v>437</v>
      </c>
      <c r="C33" s="69" t="str">
        <f aca="false">VLOOKUP(B33,'Component Master'!B:D,3,0)</f>
        <v>EFT E610P Airframe with 10L Tank</v>
      </c>
      <c r="D33" s="17" t="n">
        <v>1</v>
      </c>
      <c r="E33" s="17" t="s">
        <v>70</v>
      </c>
      <c r="F33" s="46" t="n">
        <v>45427</v>
      </c>
      <c r="G33" s="47" t="n">
        <v>38903.81</v>
      </c>
      <c r="H33" s="47" t="n">
        <f aca="false">G33*D33</f>
        <v>38903.81</v>
      </c>
      <c r="I33" s="47" t="n">
        <f aca="false">0.05*H33</f>
        <v>1945.1905</v>
      </c>
      <c r="J33" s="72" t="n">
        <v>600</v>
      </c>
      <c r="K33" s="47" t="n">
        <f aca="false">H33+I33+J33</f>
        <v>41449.0005</v>
      </c>
      <c r="L33" s="17" t="s">
        <v>687</v>
      </c>
    </row>
    <row r="34" customFormat="false" ht="15" hidden="false" customHeight="false" outlineLevel="0" collapsed="false">
      <c r="A34" s="70" t="n">
        <v>45433</v>
      </c>
      <c r="B34" s="4" t="s">
        <v>439</v>
      </c>
      <c r="C34" s="69" t="str">
        <f aca="false">VLOOKUP(B34,'Component Master'!B:D,3,0)</f>
        <v>CF Sheet 500*500mm*3mm</v>
      </c>
      <c r="D34" s="17" t="n">
        <v>2</v>
      </c>
      <c r="E34" s="17" t="s">
        <v>70</v>
      </c>
      <c r="F34" s="46" t="n">
        <v>45427</v>
      </c>
      <c r="G34" s="47" t="n">
        <v>7316.95</v>
      </c>
      <c r="H34" s="47" t="n">
        <f aca="false">G34*D34</f>
        <v>14633.9</v>
      </c>
      <c r="I34" s="47" t="n">
        <f aca="false">0.18*H34</f>
        <v>2634.102</v>
      </c>
      <c r="J34" s="72" t="n">
        <v>600</v>
      </c>
      <c r="K34" s="47" t="n">
        <f aca="false">H34+I34+J34</f>
        <v>17868.002</v>
      </c>
      <c r="L34" s="17" t="s">
        <v>687</v>
      </c>
    </row>
    <row r="35" customFormat="false" ht="15" hidden="false" customHeight="false" outlineLevel="0" collapsed="false">
      <c r="A35" s="70" t="n">
        <v>45434</v>
      </c>
      <c r="B35" s="4" t="s">
        <v>95</v>
      </c>
      <c r="C35" s="69" t="str">
        <f aca="false">VLOOKUP(B35,'Component Master'!B:D,3,0)</f>
        <v>Alind water jet cutting</v>
      </c>
      <c r="D35" s="17" t="n">
        <v>2</v>
      </c>
      <c r="E35" s="17" t="s">
        <v>98</v>
      </c>
      <c r="F35" s="46" t="n">
        <v>45434</v>
      </c>
      <c r="G35" s="73" t="n">
        <v>1079</v>
      </c>
      <c r="H35" s="47" t="n">
        <f aca="false">G35*D35</f>
        <v>2158</v>
      </c>
      <c r="I35" s="47" t="n">
        <f aca="false">0.12*H35</f>
        <v>258.96</v>
      </c>
      <c r="J35" s="72" t="n">
        <v>0</v>
      </c>
      <c r="K35" s="47" t="n">
        <f aca="false">H35+I35+J35</f>
        <v>2416.96</v>
      </c>
      <c r="L35" s="17" t="s">
        <v>687</v>
      </c>
    </row>
    <row r="36" customFormat="false" ht="15" hidden="false" customHeight="false" outlineLevel="0" collapsed="false">
      <c r="A36" s="70" t="n">
        <v>45434</v>
      </c>
      <c r="B36" s="4" t="s">
        <v>95</v>
      </c>
      <c r="C36" s="69" t="str">
        <f aca="false">VLOOKUP(B36,'Component Master'!B:D,3,0)</f>
        <v>Alind water jet cutting</v>
      </c>
      <c r="D36" s="17" t="n">
        <v>2</v>
      </c>
      <c r="E36" s="17" t="s">
        <v>98</v>
      </c>
      <c r="F36" s="46" t="n">
        <v>45434</v>
      </c>
      <c r="G36" s="73" t="n">
        <v>1100</v>
      </c>
      <c r="H36" s="47" t="n">
        <f aca="false">G36*D36</f>
        <v>2200</v>
      </c>
      <c r="I36" s="47" t="n">
        <f aca="false">0.12*H36</f>
        <v>264</v>
      </c>
      <c r="J36" s="72" t="n">
        <v>0</v>
      </c>
      <c r="K36" s="47" t="n">
        <f aca="false">H36+I36+J36</f>
        <v>2464</v>
      </c>
      <c r="L36" s="17" t="s">
        <v>687</v>
      </c>
    </row>
    <row r="37" customFormat="false" ht="15" hidden="false" customHeight="false" outlineLevel="0" collapsed="false">
      <c r="A37" s="46" t="n">
        <v>45435</v>
      </c>
      <c r="B37" s="4" t="s">
        <v>441</v>
      </c>
      <c r="C37" s="69" t="str">
        <f aca="false">VLOOKUP(B37,'Component Master'!B:D,3,0)</f>
        <v>Aluminium mount</v>
      </c>
      <c r="D37" s="71" t="n">
        <v>12</v>
      </c>
      <c r="E37" s="17" t="s">
        <v>764</v>
      </c>
      <c r="F37" s="46" t="n">
        <v>45435</v>
      </c>
      <c r="G37" s="47" t="n">
        <v>2750</v>
      </c>
      <c r="H37" s="47" t="n">
        <f aca="false">G37*D37</f>
        <v>33000</v>
      </c>
      <c r="I37" s="47" t="n">
        <v>6048</v>
      </c>
      <c r="J37" s="72" t="n">
        <v>600</v>
      </c>
      <c r="K37" s="47" t="n">
        <f aca="false">H37+I37+J37</f>
        <v>39648</v>
      </c>
      <c r="L37" s="17" t="s">
        <v>687</v>
      </c>
    </row>
    <row r="38" customFormat="false" ht="15" hidden="false" customHeight="false" outlineLevel="0" collapsed="false">
      <c r="A38" s="70" t="n">
        <v>45436</v>
      </c>
      <c r="B38" s="4" t="s">
        <v>95</v>
      </c>
      <c r="C38" s="69" t="str">
        <f aca="false">VLOOKUP(B38,'Component Master'!B:D,3,0)</f>
        <v>Alind water jet cutting</v>
      </c>
      <c r="D38" s="17" t="n">
        <v>1</v>
      </c>
      <c r="E38" s="17" t="s">
        <v>98</v>
      </c>
      <c r="F38" s="46" t="n">
        <v>45436</v>
      </c>
      <c r="G38" s="47" t="n">
        <v>1100</v>
      </c>
      <c r="H38" s="47" t="n">
        <f aca="false">G38*D38</f>
        <v>1100</v>
      </c>
      <c r="I38" s="47" t="n">
        <f aca="false">0.12*H38</f>
        <v>132</v>
      </c>
      <c r="J38" s="72" t="n">
        <v>0</v>
      </c>
      <c r="K38" s="47" t="n">
        <f aca="false">H38+I38+J38</f>
        <v>1232</v>
      </c>
      <c r="L38" s="17" t="s">
        <v>687</v>
      </c>
    </row>
    <row r="39" customFormat="false" ht="15" hidden="false" customHeight="false" outlineLevel="0" collapsed="false">
      <c r="A39" s="70" t="n">
        <v>45439</v>
      </c>
      <c r="B39" s="4" t="s">
        <v>103</v>
      </c>
      <c r="C39" s="69" t="str">
        <f aca="false">VLOOKUP(B39,'Component Master'!B:D,3,0)</f>
        <v>3D Printed Parts</v>
      </c>
      <c r="D39" s="17" t="n">
        <v>1</v>
      </c>
      <c r="E39" s="17" t="s">
        <v>621</v>
      </c>
      <c r="F39" s="46" t="n">
        <v>45439</v>
      </c>
      <c r="G39" s="47" t="n">
        <v>16425</v>
      </c>
      <c r="H39" s="47" t="n">
        <f aca="false">G39*D39</f>
        <v>16425</v>
      </c>
      <c r="I39" s="47" t="n">
        <f aca="false">0.18*H39</f>
        <v>2956.5</v>
      </c>
      <c r="J39" s="72" t="n">
        <v>0</v>
      </c>
      <c r="K39" s="47" t="n">
        <f aca="false">H39+I39+J39</f>
        <v>19381.5</v>
      </c>
      <c r="L39" s="17" t="s">
        <v>687</v>
      </c>
    </row>
    <row r="40" customFormat="false" ht="15" hidden="false" customHeight="false" outlineLevel="0" collapsed="false">
      <c r="A40" s="70" t="n">
        <v>45439</v>
      </c>
      <c r="B40" s="4" t="s">
        <v>466</v>
      </c>
      <c r="C40" s="69" t="str">
        <f aca="false">VLOOKUP(B40,'Component Master'!B:D,3,0)</f>
        <v>Liquid water Level sensor</v>
      </c>
      <c r="D40" s="17" t="n">
        <v>3</v>
      </c>
      <c r="E40" s="17" t="s">
        <v>70</v>
      </c>
      <c r="F40" s="46" t="n">
        <v>45436</v>
      </c>
      <c r="G40" s="47" t="n">
        <v>508.47</v>
      </c>
      <c r="H40" s="47" t="n">
        <f aca="false">G40*D40</f>
        <v>1525.41</v>
      </c>
      <c r="I40" s="47" t="n">
        <f aca="false">0.18*H40</f>
        <v>274.5738</v>
      </c>
      <c r="J40" s="72" t="n">
        <v>62</v>
      </c>
      <c r="K40" s="47" t="n">
        <f aca="false">H40+I40+J40</f>
        <v>1861.9838</v>
      </c>
      <c r="L40" s="17" t="s">
        <v>687</v>
      </c>
    </row>
    <row r="41" customFormat="false" ht="15" hidden="false" customHeight="false" outlineLevel="0" collapsed="false">
      <c r="A41" s="70" t="n">
        <v>45439</v>
      </c>
      <c r="B41" s="4" t="s">
        <v>464</v>
      </c>
      <c r="C41" s="69" t="str">
        <f aca="false">VLOOKUP(B41,'Component Master'!B:D,3,0)</f>
        <v>Water flow sensor-White</v>
      </c>
      <c r="D41" s="17" t="n">
        <v>1</v>
      </c>
      <c r="E41" s="17" t="s">
        <v>70</v>
      </c>
      <c r="F41" s="46" t="n">
        <v>45436</v>
      </c>
      <c r="G41" s="47" t="n">
        <v>189.83</v>
      </c>
      <c r="H41" s="47" t="n">
        <f aca="false">G41*D41</f>
        <v>189.83</v>
      </c>
      <c r="I41" s="47" t="n">
        <f aca="false">0.18*H41</f>
        <v>34.1694</v>
      </c>
      <c r="J41" s="72" t="n">
        <v>62</v>
      </c>
      <c r="K41" s="47" t="n">
        <f aca="false">H41+I41+J41</f>
        <v>285.9994</v>
      </c>
      <c r="L41" s="17" t="s">
        <v>687</v>
      </c>
    </row>
    <row r="42" customFormat="false" ht="15" hidden="false" customHeight="false" outlineLevel="0" collapsed="false">
      <c r="A42" s="70" t="n">
        <v>45439</v>
      </c>
      <c r="B42" s="4" t="s">
        <v>468</v>
      </c>
      <c r="C42" s="69" t="str">
        <f aca="false">VLOOKUP(B42,'Component Master'!B:D,3,0)</f>
        <v>QS8-S Anti spark Male/Female connector pair</v>
      </c>
      <c r="D42" s="17" t="n">
        <v>2</v>
      </c>
      <c r="E42" s="17" t="s">
        <v>70</v>
      </c>
      <c r="F42" s="46" t="n">
        <v>45436</v>
      </c>
      <c r="G42" s="47" t="n">
        <v>566.95</v>
      </c>
      <c r="H42" s="47" t="n">
        <f aca="false">G42*D42</f>
        <v>1133.9</v>
      </c>
      <c r="I42" s="47" t="n">
        <f aca="false">0.18*H42</f>
        <v>204.102</v>
      </c>
      <c r="J42" s="72" t="n">
        <v>25</v>
      </c>
      <c r="K42" s="47" t="n">
        <f aca="false">H42+I42+J42</f>
        <v>1363.002</v>
      </c>
      <c r="L42" s="17" t="s">
        <v>687</v>
      </c>
    </row>
    <row r="43" customFormat="false" ht="15" hidden="false" customHeight="false" outlineLevel="0" collapsed="false">
      <c r="A43" s="70" t="n">
        <v>45439</v>
      </c>
      <c r="B43" s="4" t="s">
        <v>103</v>
      </c>
      <c r="C43" s="69" t="str">
        <f aca="false">VLOOKUP(B43,'Component Master'!B:D,3,0)</f>
        <v>3D Printed Parts</v>
      </c>
      <c r="D43" s="17" t="n">
        <v>2</v>
      </c>
      <c r="E43" s="17" t="s">
        <v>102</v>
      </c>
      <c r="F43" s="46" t="n">
        <v>45439</v>
      </c>
      <c r="G43" s="47" t="n">
        <v>425.7</v>
      </c>
      <c r="H43" s="47" t="n">
        <f aca="false">G43*D43</f>
        <v>851.4</v>
      </c>
      <c r="I43" s="47" t="n">
        <f aca="false">0.18*H43</f>
        <v>153.252</v>
      </c>
      <c r="J43" s="72" t="n">
        <v>225</v>
      </c>
      <c r="K43" s="47" t="n">
        <f aca="false">H43+I43+J43</f>
        <v>1229.652</v>
      </c>
      <c r="L43" s="17" t="s">
        <v>687</v>
      </c>
    </row>
    <row r="44" customFormat="false" ht="15" hidden="false" customHeight="false" outlineLevel="0" collapsed="false">
      <c r="A44" s="70" t="n">
        <v>45439</v>
      </c>
      <c r="B44" s="4" t="s">
        <v>103</v>
      </c>
      <c r="C44" s="69" t="str">
        <f aca="false">VLOOKUP(B44,'Component Master'!B:D,3,0)</f>
        <v>3D Printed Parts</v>
      </c>
      <c r="D44" s="17" t="n">
        <v>2</v>
      </c>
      <c r="E44" s="17" t="s">
        <v>102</v>
      </c>
      <c r="F44" s="46" t="n">
        <v>45439</v>
      </c>
      <c r="G44" s="47" t="n">
        <v>395.6</v>
      </c>
      <c r="H44" s="47" t="n">
        <f aca="false">G44*D44</f>
        <v>791.2</v>
      </c>
      <c r="I44" s="47" t="n">
        <f aca="false">0.18*H44</f>
        <v>142.416</v>
      </c>
      <c r="J44" s="72" t="n">
        <v>225</v>
      </c>
      <c r="K44" s="47" t="n">
        <f aca="false">H44+I44+J44</f>
        <v>1158.616</v>
      </c>
      <c r="L44" s="17" t="s">
        <v>687</v>
      </c>
    </row>
    <row r="45" customFormat="false" ht="15" hidden="false" customHeight="false" outlineLevel="0" collapsed="false">
      <c r="A45" s="70" t="n">
        <v>45443</v>
      </c>
      <c r="B45" s="4" t="s">
        <v>434</v>
      </c>
      <c r="C45" s="69" t="s">
        <v>432</v>
      </c>
      <c r="D45" s="17" t="n">
        <v>2</v>
      </c>
      <c r="E45" s="17" t="s">
        <v>540</v>
      </c>
      <c r="F45" s="46" t="n">
        <v>45435</v>
      </c>
      <c r="G45" s="47" t="n">
        <v>38000</v>
      </c>
      <c r="H45" s="47" t="n">
        <f aca="false">G45*D45</f>
        <v>76000</v>
      </c>
      <c r="I45" s="47" t="n">
        <f aca="false">0.18*H45</f>
        <v>13680</v>
      </c>
      <c r="J45" s="72" t="n">
        <v>0</v>
      </c>
      <c r="K45" s="47" t="n">
        <f aca="false">H45+I45+J45</f>
        <v>89680</v>
      </c>
      <c r="L45" s="17" t="s">
        <v>687</v>
      </c>
    </row>
    <row r="46" customFormat="false" ht="15" hidden="false" customHeight="false" outlineLevel="0" collapsed="false">
      <c r="A46" s="70" t="n">
        <v>45444</v>
      </c>
      <c r="B46" s="4" t="s">
        <v>95</v>
      </c>
      <c r="C46" s="69" t="str">
        <f aca="false">VLOOKUP(B46,'Component Master'!B:D,3,0)</f>
        <v>Alind water jet cutting</v>
      </c>
      <c r="D46" s="17" t="n">
        <v>2</v>
      </c>
      <c r="E46" s="17" t="s">
        <v>681</v>
      </c>
      <c r="F46" s="46" t="n">
        <v>45444</v>
      </c>
      <c r="G46" s="47" t="n">
        <v>542</v>
      </c>
      <c r="H46" s="47" t="n">
        <f aca="false">G46*D46</f>
        <v>1084</v>
      </c>
      <c r="I46" s="47" t="n">
        <f aca="false">0.18*H46</f>
        <v>195.12</v>
      </c>
      <c r="J46" s="72" t="n">
        <v>0</v>
      </c>
      <c r="K46" s="47" t="n">
        <f aca="false">H46+I46+J46</f>
        <v>1279.12</v>
      </c>
      <c r="L46" s="17" t="s">
        <v>687</v>
      </c>
    </row>
    <row r="47" customFormat="false" ht="15" hidden="false" customHeight="false" outlineLevel="0" collapsed="false">
      <c r="A47" s="46" t="n">
        <v>45447</v>
      </c>
      <c r="B47" s="4" t="s">
        <v>312</v>
      </c>
      <c r="C47" s="69" t="str">
        <f aca="false">VLOOKUP(B47,'Component Master'!B:D,3,0)</f>
        <v>10L Tank</v>
      </c>
      <c r="D47" s="17" t="n">
        <v>1</v>
      </c>
      <c r="E47" s="17" t="s">
        <v>762</v>
      </c>
      <c r="F47" s="46" t="n">
        <v>45448</v>
      </c>
      <c r="G47" s="47" t="n">
        <v>6860</v>
      </c>
      <c r="H47" s="47" t="n">
        <f aca="false">G47*D47</f>
        <v>6860</v>
      </c>
      <c r="I47" s="47" t="n">
        <f aca="false">0.18*H47</f>
        <v>1234.8</v>
      </c>
      <c r="J47" s="72" t="n">
        <v>0</v>
      </c>
      <c r="K47" s="47" t="n">
        <f aca="false">H47+I47+J47</f>
        <v>8094.8</v>
      </c>
      <c r="L47" s="17" t="s">
        <v>687</v>
      </c>
    </row>
    <row r="48" customFormat="false" ht="15" hidden="false" customHeight="false" outlineLevel="0" collapsed="false">
      <c r="A48" s="46" t="n">
        <v>45447</v>
      </c>
      <c r="B48" s="4" t="s">
        <v>468</v>
      </c>
      <c r="C48" s="69" t="str">
        <f aca="false">VLOOKUP(B48,'Component Master'!B:D,3,0)</f>
        <v>QS8-S Anti spark Male/Female connector pair</v>
      </c>
      <c r="D48" s="17" t="n">
        <v>6</v>
      </c>
      <c r="E48" s="17" t="s">
        <v>70</v>
      </c>
      <c r="F48" s="46" t="n">
        <v>45448</v>
      </c>
      <c r="G48" s="47" t="n">
        <v>558.06833</v>
      </c>
      <c r="H48" s="47" t="n">
        <f aca="false">G48*D48</f>
        <v>3348.40998</v>
      </c>
      <c r="I48" s="47" t="n">
        <f aca="false">0.18*H48</f>
        <v>602.7137964</v>
      </c>
      <c r="J48" s="72" t="n">
        <v>49</v>
      </c>
      <c r="K48" s="47" t="n">
        <f aca="false">H48+I48+J48</f>
        <v>4000.1237764</v>
      </c>
      <c r="L48" s="17" t="s">
        <v>687</v>
      </c>
    </row>
    <row r="49" customFormat="false" ht="15" hidden="false" customHeight="false" outlineLevel="0" collapsed="false">
      <c r="A49" s="46" t="n">
        <v>45453</v>
      </c>
      <c r="B49" s="4" t="s">
        <v>472</v>
      </c>
      <c r="C49" s="69" t="str">
        <f aca="false">VLOOKUP(B49,'Component Master'!B:D,3,0)</f>
        <v>FrSky 900MHz Super 8 Antenna for R9M and R9M Lite Module_ FCC version</v>
      </c>
      <c r="D49" s="17" t="n">
        <v>1</v>
      </c>
      <c r="E49" s="17" t="s">
        <v>70</v>
      </c>
      <c r="F49" s="46" t="n">
        <v>45449</v>
      </c>
      <c r="G49" s="47" t="n">
        <v>1100.85</v>
      </c>
      <c r="H49" s="47" t="n">
        <f aca="false">G49*D49</f>
        <v>1100.85</v>
      </c>
      <c r="I49" s="47" t="n">
        <f aca="false">0.18*H49</f>
        <v>198.153</v>
      </c>
      <c r="J49" s="72" t="n">
        <v>0</v>
      </c>
      <c r="K49" s="47" t="n">
        <f aca="false">H49+I49+J49</f>
        <v>1299.003</v>
      </c>
      <c r="L49" s="17" t="s">
        <v>687</v>
      </c>
    </row>
    <row r="50" customFormat="false" ht="15" hidden="false" customHeight="false" outlineLevel="0" collapsed="false">
      <c r="A50" s="46" t="n">
        <v>45453</v>
      </c>
      <c r="B50" s="4" t="s">
        <v>475</v>
      </c>
      <c r="C50" s="69" t="str">
        <f aca="false">VLOOKUP(B50,'Component Master'!B:D,3,0)</f>
        <v>Avatar VTX antenna (2 pcs )</v>
      </c>
      <c r="D50" s="17" t="n">
        <v>1</v>
      </c>
      <c r="E50" s="17" t="s">
        <v>70</v>
      </c>
      <c r="F50" s="46" t="n">
        <v>45449</v>
      </c>
      <c r="G50" s="47" t="n">
        <v>1329.66</v>
      </c>
      <c r="H50" s="47" t="n">
        <f aca="false">G50*D50</f>
        <v>1329.66</v>
      </c>
      <c r="I50" s="47" t="n">
        <f aca="false">0.18*H50</f>
        <v>239.3388</v>
      </c>
      <c r="J50" s="72" t="n">
        <v>0</v>
      </c>
      <c r="K50" s="47" t="n">
        <f aca="false">H50+I50+J50</f>
        <v>1568.9988</v>
      </c>
      <c r="L50" s="17" t="s">
        <v>687</v>
      </c>
    </row>
    <row r="51" customFormat="false" ht="15" hidden="false" customHeight="false" outlineLevel="0" collapsed="false">
      <c r="A51" s="46" t="n">
        <v>45453</v>
      </c>
      <c r="B51" s="4" t="s">
        <v>477</v>
      </c>
      <c r="C51" s="69" t="str">
        <f aca="false">VLOOKUP(B51,'Component Master'!B:D,3,0)</f>
        <v>iBELL Rechargeable Weight Machine </v>
      </c>
      <c r="D51" s="17" t="n">
        <v>2</v>
      </c>
      <c r="E51" s="17" t="s">
        <v>479</v>
      </c>
      <c r="F51" s="46" t="n">
        <v>45449</v>
      </c>
      <c r="G51" s="47" t="n">
        <v>336.44</v>
      </c>
      <c r="H51" s="47" t="n">
        <f aca="false">G51*D51</f>
        <v>672.88</v>
      </c>
      <c r="I51" s="47" t="n">
        <f aca="false">0.18*H51</f>
        <v>121.1184</v>
      </c>
      <c r="J51" s="72" t="n">
        <v>0</v>
      </c>
      <c r="K51" s="47" t="n">
        <f aca="false">H51+I51+J51</f>
        <v>793.9984</v>
      </c>
      <c r="L51" s="17" t="s">
        <v>765</v>
      </c>
    </row>
    <row r="52" customFormat="false" ht="15" hidden="false" customHeight="false" outlineLevel="0" collapsed="false">
      <c r="A52" s="46" t="n">
        <v>45454</v>
      </c>
      <c r="B52" s="4" t="s">
        <v>300</v>
      </c>
      <c r="C52" s="19" t="s">
        <v>639</v>
      </c>
      <c r="D52" s="17" t="n">
        <v>5</v>
      </c>
      <c r="E52" s="17" t="s">
        <v>455</v>
      </c>
      <c r="F52" s="46" t="n">
        <v>45454</v>
      </c>
      <c r="G52" s="47" t="n">
        <v>840</v>
      </c>
      <c r="H52" s="47" t="n">
        <f aca="false">G52*D52</f>
        <v>4200</v>
      </c>
      <c r="I52" s="47" t="n">
        <f aca="false">0.05*H52</f>
        <v>210</v>
      </c>
      <c r="J52" s="47" t="n">
        <v>0</v>
      </c>
      <c r="K52" s="47" t="n">
        <f aca="false">SUM(H52:J52)</f>
        <v>4410</v>
      </c>
      <c r="L52" s="17" t="s">
        <v>687</v>
      </c>
    </row>
    <row r="53" customFormat="false" ht="15" hidden="false" customHeight="false" outlineLevel="0" collapsed="false">
      <c r="A53" s="46" t="n">
        <v>45454</v>
      </c>
      <c r="B53" s="4" t="s">
        <v>300</v>
      </c>
      <c r="C53" s="19" t="s">
        <v>640</v>
      </c>
      <c r="D53" s="17" t="n">
        <v>5</v>
      </c>
      <c r="E53" s="17" t="s">
        <v>455</v>
      </c>
      <c r="F53" s="46" t="n">
        <v>45454</v>
      </c>
      <c r="G53" s="47" t="n">
        <v>40</v>
      </c>
      <c r="H53" s="47" t="n">
        <f aca="false">G53*D53</f>
        <v>200</v>
      </c>
      <c r="I53" s="47" t="n">
        <f aca="false">0.18*H53</f>
        <v>36</v>
      </c>
      <c r="J53" s="47" t="n">
        <v>0</v>
      </c>
      <c r="K53" s="47" t="n">
        <f aca="false">SUM(H53:J53)</f>
        <v>236</v>
      </c>
      <c r="L53" s="17" t="s">
        <v>687</v>
      </c>
    </row>
    <row r="54" customFormat="false" ht="15" hidden="false" customHeight="false" outlineLevel="0" collapsed="false">
      <c r="A54" s="46" t="n">
        <v>45454</v>
      </c>
      <c r="B54" s="4" t="s">
        <v>300</v>
      </c>
      <c r="C54" s="19" t="s">
        <v>641</v>
      </c>
      <c r="D54" s="17" t="n">
        <v>3</v>
      </c>
      <c r="E54" s="17" t="s">
        <v>455</v>
      </c>
      <c r="F54" s="46" t="n">
        <v>45454</v>
      </c>
      <c r="G54" s="47" t="n">
        <v>54</v>
      </c>
      <c r="H54" s="47" t="n">
        <f aca="false">G54*D54</f>
        <v>162</v>
      </c>
      <c r="I54" s="47" t="n">
        <f aca="false">0.18*H54</f>
        <v>29.16</v>
      </c>
      <c r="J54" s="47" t="n">
        <v>0</v>
      </c>
      <c r="K54" s="47" t="n">
        <f aca="false">SUM(H54:J54)</f>
        <v>191.16</v>
      </c>
      <c r="L54" s="17" t="s">
        <v>687</v>
      </c>
    </row>
    <row r="55" customFormat="false" ht="15" hidden="false" customHeight="false" outlineLevel="0" collapsed="false">
      <c r="A55" s="46" t="n">
        <v>45454</v>
      </c>
      <c r="B55" s="4" t="s">
        <v>300</v>
      </c>
      <c r="C55" s="19" t="s">
        <v>642</v>
      </c>
      <c r="D55" s="17" t="n">
        <v>2</v>
      </c>
      <c r="E55" s="17" t="s">
        <v>455</v>
      </c>
      <c r="F55" s="46" t="n">
        <v>45454</v>
      </c>
      <c r="G55" s="47" t="n">
        <v>81</v>
      </c>
      <c r="H55" s="47" t="n">
        <f aca="false">G55*D55</f>
        <v>162</v>
      </c>
      <c r="I55" s="47" t="n">
        <f aca="false">0.18*H55</f>
        <v>29.16</v>
      </c>
      <c r="J55" s="47" t="n">
        <v>0</v>
      </c>
      <c r="K55" s="47" t="n">
        <f aca="false">SUM(H55:J55)</f>
        <v>191.16</v>
      </c>
      <c r="L55" s="17" t="s">
        <v>687</v>
      </c>
    </row>
    <row r="56" customFormat="false" ht="15" hidden="false" customHeight="false" outlineLevel="0" collapsed="false">
      <c r="A56" s="46" t="n">
        <v>45454</v>
      </c>
      <c r="B56" s="4" t="s">
        <v>300</v>
      </c>
      <c r="C56" s="19" t="s">
        <v>643</v>
      </c>
      <c r="D56" s="17" t="n">
        <v>1</v>
      </c>
      <c r="E56" s="17" t="s">
        <v>455</v>
      </c>
      <c r="F56" s="46" t="n">
        <v>45454</v>
      </c>
      <c r="G56" s="47" t="n">
        <v>90</v>
      </c>
      <c r="H56" s="47" t="n">
        <f aca="false">G56*D56</f>
        <v>90</v>
      </c>
      <c r="I56" s="47" t="n">
        <f aca="false">0.18*H56</f>
        <v>16.2</v>
      </c>
      <c r="J56" s="47" t="n">
        <v>0</v>
      </c>
      <c r="K56" s="47" t="n">
        <f aca="false">SUM(H56:J56)</f>
        <v>106.2</v>
      </c>
      <c r="L56" s="17" t="s">
        <v>687</v>
      </c>
    </row>
    <row r="57" customFormat="false" ht="15" hidden="false" customHeight="false" outlineLevel="0" collapsed="false">
      <c r="A57" s="46" t="n">
        <v>45455</v>
      </c>
      <c r="B57" s="4" t="s">
        <v>470</v>
      </c>
      <c r="C57" s="69" t="str">
        <f aca="false">VLOOKUP(B57,'Component Master'!B:D,3,0)</f>
        <v>Tattu 22000mAh 6S Lipo Battery</v>
      </c>
      <c r="D57" s="17" t="n">
        <v>4</v>
      </c>
      <c r="E57" s="17" t="s">
        <v>455</v>
      </c>
      <c r="F57" s="46" t="n">
        <v>45455</v>
      </c>
      <c r="G57" s="47" t="n">
        <v>18000</v>
      </c>
      <c r="H57" s="47" t="n">
        <f aca="false">G57*D57</f>
        <v>72000</v>
      </c>
      <c r="I57" s="47" t="n">
        <f aca="false">0.18*H57</f>
        <v>12960</v>
      </c>
      <c r="J57" s="47" t="n">
        <v>0</v>
      </c>
      <c r="K57" s="47" t="n">
        <f aca="false">SUM(H57:J57)</f>
        <v>84960</v>
      </c>
      <c r="L57" s="17" t="s">
        <v>687</v>
      </c>
    </row>
    <row r="58" customFormat="false" ht="15" hidden="false" customHeight="false" outlineLevel="0" collapsed="false">
      <c r="A58" s="46" t="n">
        <v>45456</v>
      </c>
      <c r="B58" s="4" t="s">
        <v>468</v>
      </c>
      <c r="C58" s="69" t="str">
        <f aca="false">VLOOKUP(B58,'Component Master'!B:D,3,0)</f>
        <v>QS8-S Anti spark Male/Female connector pair</v>
      </c>
      <c r="D58" s="17" t="n">
        <v>10</v>
      </c>
      <c r="E58" s="17" t="s">
        <v>70</v>
      </c>
      <c r="F58" s="46" t="n">
        <v>45454</v>
      </c>
      <c r="G58" s="47" t="n">
        <v>669</v>
      </c>
      <c r="H58" s="47" t="n">
        <f aca="false">G58*D58</f>
        <v>6690</v>
      </c>
      <c r="I58" s="47" t="n">
        <f aca="false">0.18*H58</f>
        <v>1204.2</v>
      </c>
      <c r="J58" s="47" t="n">
        <v>0</v>
      </c>
      <c r="K58" s="47" t="n">
        <f aca="false">SUM(H58:J58)</f>
        <v>7894.2</v>
      </c>
      <c r="L58" s="17" t="s">
        <v>687</v>
      </c>
    </row>
    <row r="59" customFormat="false" ht="15" hidden="false" customHeight="false" outlineLevel="0" collapsed="false">
      <c r="A59" s="46" t="n">
        <v>45458</v>
      </c>
      <c r="B59" s="4" t="s">
        <v>486</v>
      </c>
      <c r="C59" s="19" t="s">
        <v>487</v>
      </c>
      <c r="D59" s="17" t="n">
        <v>1</v>
      </c>
      <c r="E59" s="17" t="s">
        <v>455</v>
      </c>
      <c r="F59" s="46" t="n">
        <v>45458</v>
      </c>
      <c r="G59" s="47" t="n">
        <v>1680</v>
      </c>
      <c r="H59" s="47" t="n">
        <f aca="false">D59*G59</f>
        <v>1680</v>
      </c>
      <c r="I59" s="47" t="n">
        <f aca="false">0.05*H59</f>
        <v>84</v>
      </c>
      <c r="J59" s="47" t="n">
        <v>0</v>
      </c>
      <c r="K59" s="47" t="n">
        <f aca="false">SUM(H59:J59)</f>
        <v>1764</v>
      </c>
      <c r="L59" s="17" t="s">
        <v>687</v>
      </c>
    </row>
    <row r="60" customFormat="false" ht="15" hidden="false" customHeight="false" outlineLevel="0" collapsed="false">
      <c r="A60" s="46" t="n">
        <v>45458</v>
      </c>
      <c r="B60" s="4" t="s">
        <v>488</v>
      </c>
      <c r="C60" s="19" t="s">
        <v>489</v>
      </c>
      <c r="D60" s="17" t="n">
        <v>1</v>
      </c>
      <c r="E60" s="17" t="s">
        <v>766</v>
      </c>
      <c r="F60" s="46" t="n">
        <v>45458</v>
      </c>
      <c r="G60" s="47" t="n">
        <v>600</v>
      </c>
      <c r="H60" s="47" t="n">
        <f aca="false">D60*G60</f>
        <v>600</v>
      </c>
      <c r="I60" s="47" t="n">
        <f aca="false">0.18*H60</f>
        <v>108</v>
      </c>
      <c r="J60" s="47" t="n">
        <v>0</v>
      </c>
      <c r="K60" s="47" t="n">
        <f aca="false">SUM(H60:J60)</f>
        <v>708</v>
      </c>
      <c r="L60" s="17" t="s">
        <v>687</v>
      </c>
    </row>
    <row r="61" customFormat="false" ht="15" hidden="false" customHeight="false" outlineLevel="0" collapsed="false">
      <c r="A61" s="46" t="n">
        <v>45460</v>
      </c>
      <c r="B61" s="4" t="s">
        <v>434</v>
      </c>
      <c r="C61" s="19" t="s">
        <v>435</v>
      </c>
      <c r="D61" s="17" t="n">
        <v>1</v>
      </c>
      <c r="E61" s="17" t="s">
        <v>540</v>
      </c>
      <c r="F61" s="46" t="n">
        <v>45458</v>
      </c>
      <c r="G61" s="47" t="n">
        <v>347500</v>
      </c>
      <c r="H61" s="47" t="n">
        <f aca="false">D61*G61</f>
        <v>347500</v>
      </c>
      <c r="I61" s="47" t="n">
        <f aca="false">0.18*H61</f>
        <v>62550</v>
      </c>
      <c r="J61" s="47" t="n">
        <v>0</v>
      </c>
      <c r="K61" s="47" t="n">
        <f aca="false">SUM(H61:J61)</f>
        <v>410050</v>
      </c>
      <c r="L61" s="17" t="s">
        <v>687</v>
      </c>
    </row>
    <row r="62" customFormat="false" ht="15" hidden="false" customHeight="false" outlineLevel="0" collapsed="false">
      <c r="A62" s="46" t="n">
        <v>45461</v>
      </c>
      <c r="B62" s="4" t="s">
        <v>488</v>
      </c>
      <c r="C62" s="19" t="s">
        <v>489</v>
      </c>
      <c r="D62" s="17" t="n">
        <v>1</v>
      </c>
      <c r="E62" s="17" t="s">
        <v>766</v>
      </c>
      <c r="F62" s="46" t="n">
        <v>45461</v>
      </c>
      <c r="G62" s="47" t="n">
        <v>600</v>
      </c>
      <c r="H62" s="47" t="n">
        <f aca="false">G62*D62</f>
        <v>600</v>
      </c>
      <c r="I62" s="47" t="n">
        <f aca="false">0.18*H62</f>
        <v>108</v>
      </c>
      <c r="J62" s="47" t="n">
        <v>0</v>
      </c>
      <c r="K62" s="47" t="n">
        <f aca="false">SUM(H62:J62)</f>
        <v>708</v>
      </c>
      <c r="L62" s="17" t="s">
        <v>687</v>
      </c>
    </row>
    <row r="63" customFormat="false" ht="15" hidden="false" customHeight="false" outlineLevel="0" collapsed="false">
      <c r="A63" s="46" t="n">
        <v>45462</v>
      </c>
      <c r="B63" s="4" t="s">
        <v>494</v>
      </c>
      <c r="C63" s="69" t="str">
        <f aca="false">VLOOKUP(B63,'Component Master'!B:D,3,0)</f>
        <v>Servo cables-45 cm</v>
      </c>
      <c r="D63" s="17" t="n">
        <v>6</v>
      </c>
      <c r="E63" s="17" t="s">
        <v>70</v>
      </c>
      <c r="F63" s="46" t="n">
        <v>45460</v>
      </c>
      <c r="G63" s="47" t="n">
        <v>83.898</v>
      </c>
      <c r="H63" s="47" t="n">
        <f aca="false">G63*D63</f>
        <v>503.388</v>
      </c>
      <c r="I63" s="47" t="n">
        <f aca="false">0.18*H63</f>
        <v>90.60984</v>
      </c>
      <c r="J63" s="47" t="n">
        <f aca="false">124/2</f>
        <v>62</v>
      </c>
      <c r="K63" s="47" t="n">
        <f aca="false">SUM(H63:J63)</f>
        <v>655.99784</v>
      </c>
      <c r="L63" s="17" t="s">
        <v>687</v>
      </c>
    </row>
    <row r="64" customFormat="false" ht="15" hidden="false" customHeight="false" outlineLevel="0" collapsed="false">
      <c r="A64" s="46" t="n">
        <v>45462</v>
      </c>
      <c r="B64" s="4" t="s">
        <v>496</v>
      </c>
      <c r="C64" s="69" t="str">
        <f aca="false">VLOOKUP(B64,'Component Master'!B:D,3,0)</f>
        <v>Servo cables-60cm</v>
      </c>
      <c r="D64" s="17" t="n">
        <v>6</v>
      </c>
      <c r="E64" s="17" t="s">
        <v>70</v>
      </c>
      <c r="F64" s="46" t="n">
        <v>45460</v>
      </c>
      <c r="G64" s="47" t="n">
        <v>66.948</v>
      </c>
      <c r="H64" s="47" t="n">
        <f aca="false">G64*D64</f>
        <v>401.688</v>
      </c>
      <c r="I64" s="47" t="n">
        <f aca="false">0.18*H64</f>
        <v>72.30384</v>
      </c>
      <c r="J64" s="47" t="n">
        <f aca="false">124/2</f>
        <v>62</v>
      </c>
      <c r="K64" s="47" t="n">
        <f aca="false">SUM(H64:J64)</f>
        <v>535.99184</v>
      </c>
      <c r="L64" s="17" t="s">
        <v>687</v>
      </c>
    </row>
    <row r="65" customFormat="false" ht="15" hidden="false" customHeight="false" outlineLevel="0" collapsed="false">
      <c r="A65" s="46" t="n">
        <v>45462</v>
      </c>
      <c r="B65" s="4" t="s">
        <v>480</v>
      </c>
      <c r="C65" s="19" t="s">
        <v>767</v>
      </c>
      <c r="D65" s="17" t="n">
        <v>200</v>
      </c>
      <c r="E65" s="17" t="s">
        <v>768</v>
      </c>
      <c r="F65" s="46" t="n">
        <v>45462</v>
      </c>
      <c r="G65" s="47" t="n">
        <v>4.16</v>
      </c>
      <c r="H65" s="47" t="n">
        <f aca="false">G65*D65</f>
        <v>832</v>
      </c>
      <c r="I65" s="47" t="n">
        <f aca="false">0.18*H65</f>
        <v>149.76</v>
      </c>
      <c r="J65" s="47" t="n">
        <v>0</v>
      </c>
      <c r="K65" s="47" t="n">
        <f aca="false">SUM(H65:J65)</f>
        <v>981.76</v>
      </c>
      <c r="L65" s="17" t="s">
        <v>687</v>
      </c>
    </row>
    <row r="66" customFormat="false" ht="15" hidden="false" customHeight="false" outlineLevel="0" collapsed="false">
      <c r="A66" s="52" t="n">
        <v>45467</v>
      </c>
      <c r="B66" s="4" t="s">
        <v>103</v>
      </c>
      <c r="C66" s="30" t="s">
        <v>649</v>
      </c>
      <c r="D66" s="51" t="n">
        <v>2</v>
      </c>
      <c r="E66" s="51" t="s">
        <v>650</v>
      </c>
      <c r="F66" s="46" t="n">
        <v>45467</v>
      </c>
      <c r="G66" s="47" t="n">
        <v>296.7</v>
      </c>
      <c r="H66" s="47" t="n">
        <v>593.4</v>
      </c>
      <c r="I66" s="47" t="n">
        <v>106.812</v>
      </c>
      <c r="J66" s="47" t="n">
        <v>0</v>
      </c>
      <c r="K66" s="47" t="n">
        <v>700.212</v>
      </c>
      <c r="L66" s="17" t="s">
        <v>651</v>
      </c>
    </row>
    <row r="67" customFormat="false" ht="15" hidden="false" customHeight="false" outlineLevel="0" collapsed="false">
      <c r="A67" s="52" t="n">
        <v>45467</v>
      </c>
      <c r="B67" s="4" t="s">
        <v>103</v>
      </c>
      <c r="C67" s="30" t="s">
        <v>616</v>
      </c>
      <c r="D67" s="51" t="n">
        <v>2</v>
      </c>
      <c r="E67" s="51" t="s">
        <v>650</v>
      </c>
      <c r="F67" s="46" t="n">
        <v>45467</v>
      </c>
      <c r="G67" s="47" t="n">
        <v>2614.4</v>
      </c>
      <c r="H67" s="47" t="n">
        <v>5228.8</v>
      </c>
      <c r="I67" s="47" t="n">
        <v>941.184</v>
      </c>
      <c r="J67" s="47" t="n">
        <v>0</v>
      </c>
      <c r="K67" s="47" t="n">
        <v>6169.984</v>
      </c>
      <c r="L67" s="17" t="s">
        <v>651</v>
      </c>
    </row>
    <row r="68" customFormat="false" ht="15" hidden="false" customHeight="false" outlineLevel="0" collapsed="false">
      <c r="A68" s="52" t="n">
        <v>45467</v>
      </c>
      <c r="B68" s="4" t="s">
        <v>464</v>
      </c>
      <c r="C68" s="30" t="s">
        <v>652</v>
      </c>
      <c r="D68" s="51" t="n">
        <v>2</v>
      </c>
      <c r="E68" s="51" t="s">
        <v>653</v>
      </c>
      <c r="F68" s="46" t="n">
        <v>45462</v>
      </c>
      <c r="G68" s="47" t="n">
        <v>181</v>
      </c>
      <c r="H68" s="47" t="n">
        <v>362</v>
      </c>
      <c r="I68" s="47" t="n">
        <v>65.16</v>
      </c>
      <c r="J68" s="47" t="n">
        <v>120.36</v>
      </c>
      <c r="K68" s="47" t="n">
        <v>547.52</v>
      </c>
      <c r="L68" s="17" t="s">
        <v>651</v>
      </c>
    </row>
    <row r="69" customFormat="false" ht="15" hidden="false" customHeight="false" outlineLevel="0" collapsed="false">
      <c r="A69" s="52" t="n">
        <v>45467</v>
      </c>
      <c r="B69" s="4" t="s">
        <v>501</v>
      </c>
      <c r="C69" s="30" t="s">
        <v>502</v>
      </c>
      <c r="D69" s="51" t="n">
        <v>4</v>
      </c>
      <c r="E69" s="51" t="s">
        <v>654</v>
      </c>
      <c r="F69" s="46" t="n">
        <v>45462</v>
      </c>
      <c r="G69" s="47" t="n">
        <v>111.1025</v>
      </c>
      <c r="H69" s="47" t="n">
        <v>444.41</v>
      </c>
      <c r="I69" s="47" t="n">
        <v>79.9938</v>
      </c>
      <c r="J69" s="47" t="n">
        <v>113</v>
      </c>
      <c r="K69" s="47" t="n">
        <v>637.4038</v>
      </c>
      <c r="L69" s="17" t="s">
        <v>651</v>
      </c>
    </row>
    <row r="70" customFormat="false" ht="15" hidden="false" customHeight="false" outlineLevel="0" collapsed="false">
      <c r="A70" s="52" t="n">
        <v>45467</v>
      </c>
      <c r="B70" s="4" t="s">
        <v>503</v>
      </c>
      <c r="C70" s="30" t="s">
        <v>504</v>
      </c>
      <c r="D70" s="51" t="n">
        <v>4</v>
      </c>
      <c r="E70" s="51" t="s">
        <v>654</v>
      </c>
      <c r="F70" s="46" t="n">
        <v>45462</v>
      </c>
      <c r="G70" s="47" t="n">
        <v>465.255</v>
      </c>
      <c r="H70" s="47" t="n">
        <v>1861.02</v>
      </c>
      <c r="I70" s="47" t="n">
        <v>334.9836</v>
      </c>
      <c r="J70" s="47" t="n">
        <v>113</v>
      </c>
      <c r="K70" s="47" t="n">
        <v>2309.0036</v>
      </c>
      <c r="L70" s="17" t="s">
        <v>651</v>
      </c>
    </row>
    <row r="71" customFormat="false" ht="15" hidden="false" customHeight="false" outlineLevel="0" collapsed="false">
      <c r="A71" s="52" t="n">
        <v>45467</v>
      </c>
      <c r="B71" s="4" t="s">
        <v>109</v>
      </c>
      <c r="C71" s="30" t="s">
        <v>655</v>
      </c>
      <c r="D71" s="51" t="n">
        <v>2</v>
      </c>
      <c r="E71" s="51" t="s">
        <v>455</v>
      </c>
      <c r="F71" s="46" t="n">
        <v>45467</v>
      </c>
      <c r="G71" s="47" t="n">
        <v>39400</v>
      </c>
      <c r="H71" s="47" t="n">
        <v>78800</v>
      </c>
      <c r="I71" s="47" t="n">
        <v>14184</v>
      </c>
      <c r="J71" s="47" t="n">
        <v>0</v>
      </c>
      <c r="K71" s="47" t="n">
        <v>92984</v>
      </c>
      <c r="L71" s="17" t="s">
        <v>651</v>
      </c>
    </row>
    <row r="72" customFormat="false" ht="15" hidden="false" customHeight="false" outlineLevel="0" collapsed="false">
      <c r="A72" s="52" t="n">
        <v>45467</v>
      </c>
      <c r="B72" s="4" t="s">
        <v>437</v>
      </c>
      <c r="C72" s="30" t="s">
        <v>656</v>
      </c>
      <c r="D72" s="51" t="n">
        <v>2</v>
      </c>
      <c r="E72" s="51" t="s">
        <v>455</v>
      </c>
      <c r="F72" s="46" t="n">
        <v>45467</v>
      </c>
      <c r="G72" s="47" t="n">
        <v>42600</v>
      </c>
      <c r="H72" s="47" t="n">
        <v>85200</v>
      </c>
      <c r="I72" s="47" t="n">
        <v>4260</v>
      </c>
      <c r="J72" s="47" t="n">
        <v>0</v>
      </c>
      <c r="K72" s="47" t="n">
        <v>89460</v>
      </c>
      <c r="L72" s="17" t="s">
        <v>651</v>
      </c>
    </row>
    <row r="73" customFormat="false" ht="15" hidden="false" customHeight="false" outlineLevel="0" collapsed="false">
      <c r="A73" s="52" t="n">
        <v>45467</v>
      </c>
      <c r="B73" s="4" t="s">
        <v>470</v>
      </c>
      <c r="C73" s="30" t="s">
        <v>657</v>
      </c>
      <c r="D73" s="51" t="n">
        <v>4</v>
      </c>
      <c r="E73" s="51" t="s">
        <v>455</v>
      </c>
      <c r="F73" s="46" t="n">
        <v>45467</v>
      </c>
      <c r="G73" s="47" t="n">
        <v>17700</v>
      </c>
      <c r="H73" s="47" t="n">
        <v>70800</v>
      </c>
      <c r="I73" s="47" t="n">
        <v>12744</v>
      </c>
      <c r="J73" s="47" t="n">
        <v>0</v>
      </c>
      <c r="K73" s="47" t="n">
        <v>83544</v>
      </c>
      <c r="L73" s="17" t="s">
        <v>651</v>
      </c>
    </row>
    <row r="74" customFormat="false" ht="15" hidden="false" customHeight="false" outlineLevel="0" collapsed="false">
      <c r="A74" s="52" t="n">
        <v>45467</v>
      </c>
      <c r="B74" s="4" t="s">
        <v>187</v>
      </c>
      <c r="C74" s="30" t="s">
        <v>658</v>
      </c>
      <c r="D74" s="51" t="n">
        <v>6</v>
      </c>
      <c r="E74" s="51" t="s">
        <v>455</v>
      </c>
      <c r="F74" s="46" t="n">
        <v>45467</v>
      </c>
      <c r="G74" s="47" t="n">
        <v>10520</v>
      </c>
      <c r="H74" s="47" t="n">
        <v>63120</v>
      </c>
      <c r="I74" s="47" t="n">
        <v>3156</v>
      </c>
      <c r="J74" s="47" t="n">
        <v>0</v>
      </c>
      <c r="K74" s="47" t="n">
        <v>66276</v>
      </c>
      <c r="L74" s="17" t="s">
        <v>651</v>
      </c>
    </row>
    <row r="75" customFormat="false" ht="15" hidden="false" customHeight="false" outlineLevel="0" collapsed="false">
      <c r="A75" s="52" t="n">
        <v>45467</v>
      </c>
      <c r="B75" s="4" t="s">
        <v>187</v>
      </c>
      <c r="C75" s="30" t="s">
        <v>658</v>
      </c>
      <c r="D75" s="51" t="n">
        <v>6</v>
      </c>
      <c r="E75" s="51" t="s">
        <v>455</v>
      </c>
      <c r="F75" s="46" t="n">
        <v>45467</v>
      </c>
      <c r="G75" s="47" t="n">
        <v>10520</v>
      </c>
      <c r="H75" s="47" t="n">
        <v>63120</v>
      </c>
      <c r="I75" s="47" t="n">
        <v>3156</v>
      </c>
      <c r="J75" s="47" t="n">
        <v>0</v>
      </c>
      <c r="K75" s="47" t="n">
        <v>66276</v>
      </c>
      <c r="L75" s="17" t="s">
        <v>651</v>
      </c>
    </row>
    <row r="76" customFormat="false" ht="15" hidden="false" customHeight="false" outlineLevel="0" collapsed="false">
      <c r="A76" s="52" t="n">
        <v>45467</v>
      </c>
      <c r="B76" s="4" t="s">
        <v>171</v>
      </c>
      <c r="C76" s="30" t="s">
        <v>659</v>
      </c>
      <c r="D76" s="51" t="n">
        <v>2</v>
      </c>
      <c r="E76" s="51" t="s">
        <v>455</v>
      </c>
      <c r="F76" s="46" t="n">
        <v>45467</v>
      </c>
      <c r="G76" s="47" t="n">
        <v>17000</v>
      </c>
      <c r="H76" s="47" t="n">
        <v>34000</v>
      </c>
      <c r="I76" s="47" t="n">
        <v>6120</v>
      </c>
      <c r="J76" s="47" t="n">
        <v>0</v>
      </c>
      <c r="K76" s="47" t="n">
        <v>40120</v>
      </c>
      <c r="L76" s="17" t="s">
        <v>651</v>
      </c>
    </row>
    <row r="77" customFormat="false" ht="15" hidden="false" customHeight="false" outlineLevel="0" collapsed="false">
      <c r="A77" s="52" t="n">
        <v>45467</v>
      </c>
      <c r="B77" s="4" t="s">
        <v>300</v>
      </c>
      <c r="C77" s="30" t="s">
        <v>660</v>
      </c>
      <c r="D77" s="51" t="n">
        <v>2</v>
      </c>
      <c r="E77" s="51" t="s">
        <v>455</v>
      </c>
      <c r="F77" s="46" t="n">
        <v>45467</v>
      </c>
      <c r="G77" s="47" t="n">
        <v>10200</v>
      </c>
      <c r="H77" s="47" t="n">
        <v>20400</v>
      </c>
      <c r="I77" s="47" t="n">
        <v>1020</v>
      </c>
      <c r="J77" s="47" t="n">
        <v>0</v>
      </c>
      <c r="K77" s="47" t="n">
        <v>21420</v>
      </c>
      <c r="L77" s="17" t="s">
        <v>651</v>
      </c>
    </row>
    <row r="78" customFormat="false" ht="15" hidden="false" customHeight="false" outlineLevel="0" collapsed="false">
      <c r="A78" s="52" t="n">
        <v>45467</v>
      </c>
      <c r="B78" s="4" t="s">
        <v>239</v>
      </c>
      <c r="C78" s="30" t="s">
        <v>661</v>
      </c>
      <c r="D78" s="51" t="n">
        <v>2</v>
      </c>
      <c r="E78" s="51" t="s">
        <v>455</v>
      </c>
      <c r="F78" s="46" t="n">
        <v>45467</v>
      </c>
      <c r="G78" s="47" t="n">
        <v>3000</v>
      </c>
      <c r="H78" s="47" t="n">
        <v>6000</v>
      </c>
      <c r="I78" s="47" t="n">
        <v>300</v>
      </c>
      <c r="J78" s="47" t="n">
        <v>0</v>
      </c>
      <c r="K78" s="47" t="n">
        <v>6300</v>
      </c>
      <c r="L78" s="17" t="s">
        <v>651</v>
      </c>
    </row>
    <row r="79" customFormat="false" ht="15" hidden="false" customHeight="false" outlineLevel="0" collapsed="false">
      <c r="A79" s="52" t="n">
        <v>45467</v>
      </c>
      <c r="B79" s="4" t="s">
        <v>276</v>
      </c>
      <c r="C79" s="30" t="s">
        <v>662</v>
      </c>
      <c r="D79" s="51" t="n">
        <v>2</v>
      </c>
      <c r="E79" s="51" t="s">
        <v>654</v>
      </c>
      <c r="F79" s="46" t="n">
        <v>45462</v>
      </c>
      <c r="G79" s="47" t="n">
        <v>28220.34</v>
      </c>
      <c r="H79" s="47" t="n">
        <v>56440.68</v>
      </c>
      <c r="I79" s="47" t="n">
        <v>10159.3224</v>
      </c>
      <c r="J79" s="47" t="n">
        <v>31.36</v>
      </c>
      <c r="K79" s="47" t="n">
        <v>66631.3624</v>
      </c>
      <c r="L79" s="17" t="s">
        <v>651</v>
      </c>
    </row>
    <row r="80" customFormat="false" ht="15" hidden="false" customHeight="false" outlineLevel="0" collapsed="false">
      <c r="A80" s="52" t="n">
        <v>45467</v>
      </c>
      <c r="B80" s="4" t="s">
        <v>468</v>
      </c>
      <c r="C80" s="30" t="s">
        <v>469</v>
      </c>
      <c r="D80" s="51" t="n">
        <v>8</v>
      </c>
      <c r="E80" s="51" t="s">
        <v>654</v>
      </c>
      <c r="F80" s="46" t="n">
        <v>45462</v>
      </c>
      <c r="G80" s="47" t="n">
        <v>558.0675</v>
      </c>
      <c r="H80" s="47" t="n">
        <v>4464.54</v>
      </c>
      <c r="I80" s="47" t="n">
        <v>803.6172</v>
      </c>
      <c r="J80" s="47" t="n">
        <v>31.36</v>
      </c>
      <c r="K80" s="47" t="n">
        <v>5299.5172</v>
      </c>
      <c r="L80" s="17" t="s">
        <v>651</v>
      </c>
    </row>
    <row r="81" customFormat="false" ht="15" hidden="false" customHeight="false" outlineLevel="0" collapsed="false">
      <c r="A81" s="52" t="n">
        <v>45467</v>
      </c>
      <c r="B81" s="4" t="s">
        <v>505</v>
      </c>
      <c r="C81" s="30" t="s">
        <v>506</v>
      </c>
      <c r="D81" s="51" t="n">
        <v>10</v>
      </c>
      <c r="E81" s="51" t="s">
        <v>654</v>
      </c>
      <c r="F81" s="46" t="n">
        <v>45462</v>
      </c>
      <c r="G81" s="47" t="n">
        <v>107.254</v>
      </c>
      <c r="H81" s="47" t="n">
        <v>1072.54</v>
      </c>
      <c r="I81" s="47" t="n">
        <v>193.0572</v>
      </c>
      <c r="J81" s="47" t="n">
        <v>31.36</v>
      </c>
      <c r="K81" s="47" t="n">
        <v>1296.9572</v>
      </c>
      <c r="L81" s="17" t="s">
        <v>651</v>
      </c>
    </row>
    <row r="82" customFormat="false" ht="15" hidden="false" customHeight="false" outlineLevel="0" collapsed="false">
      <c r="A82" s="52" t="n">
        <v>45467</v>
      </c>
      <c r="B82" s="4" t="s">
        <v>451</v>
      </c>
      <c r="C82" s="30" t="s">
        <v>663</v>
      </c>
      <c r="D82" s="51" t="n">
        <v>16</v>
      </c>
      <c r="E82" s="51" t="s">
        <v>654</v>
      </c>
      <c r="F82" s="46" t="n">
        <v>45462</v>
      </c>
      <c r="G82" s="47" t="n">
        <v>32.5675</v>
      </c>
      <c r="H82" s="47" t="n">
        <v>521.08</v>
      </c>
      <c r="I82" s="47" t="n">
        <v>93.7944</v>
      </c>
      <c r="J82" s="47" t="n">
        <v>31.36</v>
      </c>
      <c r="K82" s="47" t="n">
        <v>646.2344</v>
      </c>
      <c r="L82" s="17" t="s">
        <v>651</v>
      </c>
    </row>
    <row r="83" customFormat="false" ht="15" hidden="false" customHeight="false" outlineLevel="0" collapsed="false">
      <c r="A83" s="52" t="n">
        <v>45467</v>
      </c>
      <c r="B83" s="4" t="s">
        <v>466</v>
      </c>
      <c r="C83" s="30" t="s">
        <v>664</v>
      </c>
      <c r="D83" s="51" t="n">
        <v>2</v>
      </c>
      <c r="E83" s="51" t="s">
        <v>654</v>
      </c>
      <c r="F83" s="46" t="n">
        <v>45462</v>
      </c>
      <c r="G83" s="47" t="n">
        <v>427.965</v>
      </c>
      <c r="H83" s="47" t="n">
        <v>855.93</v>
      </c>
      <c r="I83" s="47" t="n">
        <v>154.0674</v>
      </c>
      <c r="J83" s="47" t="n">
        <v>31.36</v>
      </c>
      <c r="K83" s="47" t="n">
        <v>1041.3574</v>
      </c>
      <c r="L83" s="17" t="s">
        <v>651</v>
      </c>
    </row>
    <row r="84" customFormat="false" ht="15" hidden="false" customHeight="false" outlineLevel="0" collapsed="false">
      <c r="A84" s="52" t="n">
        <v>45467</v>
      </c>
      <c r="B84" s="4" t="s">
        <v>75</v>
      </c>
      <c r="C84" s="30" t="s">
        <v>665</v>
      </c>
      <c r="D84" s="51" t="n">
        <v>2</v>
      </c>
      <c r="E84" s="51" t="s">
        <v>654</v>
      </c>
      <c r="F84" s="46" t="n">
        <v>45462</v>
      </c>
      <c r="G84" s="47" t="n">
        <v>144.07</v>
      </c>
      <c r="H84" s="47" t="n">
        <v>288.14</v>
      </c>
      <c r="I84" s="47" t="n">
        <v>51.8652</v>
      </c>
      <c r="J84" s="47" t="n">
        <v>31.36</v>
      </c>
      <c r="K84" s="47" t="n">
        <v>371.3652</v>
      </c>
      <c r="L84" s="17" t="s">
        <v>651</v>
      </c>
    </row>
    <row r="85" customFormat="false" ht="15" hidden="false" customHeight="false" outlineLevel="0" collapsed="false">
      <c r="A85" s="52" t="n">
        <v>45467</v>
      </c>
      <c r="B85" s="4" t="s">
        <v>494</v>
      </c>
      <c r="C85" s="30" t="s">
        <v>666</v>
      </c>
      <c r="D85" s="51" t="n">
        <v>5</v>
      </c>
      <c r="E85" s="51" t="s">
        <v>654</v>
      </c>
      <c r="F85" s="46" t="n">
        <v>45462</v>
      </c>
      <c r="G85" s="47" t="n">
        <v>54.094</v>
      </c>
      <c r="H85" s="47" t="n">
        <v>270.47</v>
      </c>
      <c r="I85" s="47" t="n">
        <v>48.6846</v>
      </c>
      <c r="J85" s="47" t="n">
        <v>31.36</v>
      </c>
      <c r="K85" s="47" t="n">
        <v>350.5146</v>
      </c>
      <c r="L85" s="17" t="s">
        <v>651</v>
      </c>
    </row>
    <row r="86" customFormat="false" ht="15" hidden="false" customHeight="false" outlineLevel="0" collapsed="false">
      <c r="A86" s="52" t="n">
        <v>45467</v>
      </c>
      <c r="B86" s="4" t="s">
        <v>496</v>
      </c>
      <c r="C86" s="30" t="s">
        <v>667</v>
      </c>
      <c r="D86" s="51" t="n">
        <v>5</v>
      </c>
      <c r="E86" s="51" t="s">
        <v>654</v>
      </c>
      <c r="F86" s="46" t="n">
        <v>45462</v>
      </c>
      <c r="G86" s="47" t="n">
        <v>81.542</v>
      </c>
      <c r="H86" s="47" t="n">
        <v>407.71</v>
      </c>
      <c r="I86" s="47" t="n">
        <v>73.3878</v>
      </c>
      <c r="J86" s="47" t="n">
        <v>31.36</v>
      </c>
      <c r="K86" s="47" t="n">
        <v>512.4578</v>
      </c>
      <c r="L86" s="17" t="s">
        <v>651</v>
      </c>
    </row>
    <row r="87" customFormat="false" ht="15" hidden="false" customHeight="false" outlineLevel="0" collapsed="false">
      <c r="A87" s="52" t="n">
        <v>45467</v>
      </c>
      <c r="B87" s="4" t="s">
        <v>501</v>
      </c>
      <c r="C87" s="30" t="s">
        <v>668</v>
      </c>
      <c r="D87" s="51" t="n">
        <v>4</v>
      </c>
      <c r="E87" s="51" t="s">
        <v>654</v>
      </c>
      <c r="F87" s="46" t="n">
        <v>45462</v>
      </c>
      <c r="G87" s="47" t="n">
        <v>57.3725</v>
      </c>
      <c r="H87" s="47" t="n">
        <v>229.49</v>
      </c>
      <c r="I87" s="47" t="n">
        <v>41.3082</v>
      </c>
      <c r="J87" s="47" t="n">
        <v>31.36</v>
      </c>
      <c r="K87" s="47" t="n">
        <v>302.1582</v>
      </c>
      <c r="L87" s="17" t="s">
        <v>651</v>
      </c>
    </row>
    <row r="88" customFormat="false" ht="15" hidden="false" customHeight="false" outlineLevel="0" collapsed="false">
      <c r="A88" s="52" t="n">
        <v>45467</v>
      </c>
      <c r="B88" s="4" t="s">
        <v>501</v>
      </c>
      <c r="C88" s="30" t="s">
        <v>669</v>
      </c>
      <c r="D88" s="51" t="n">
        <v>4</v>
      </c>
      <c r="E88" s="51" t="s">
        <v>654</v>
      </c>
      <c r="F88" s="46" t="n">
        <v>45462</v>
      </c>
      <c r="G88" s="47" t="n">
        <v>57.3725</v>
      </c>
      <c r="H88" s="47" t="n">
        <v>229.49</v>
      </c>
      <c r="I88" s="47" t="n">
        <v>41.3082</v>
      </c>
      <c r="J88" s="47" t="n">
        <v>31.36</v>
      </c>
      <c r="K88" s="47" t="n">
        <v>302.1582</v>
      </c>
      <c r="L88" s="17" t="s">
        <v>651</v>
      </c>
    </row>
    <row r="89" customFormat="false" ht="15" hidden="false" customHeight="false" outlineLevel="0" collapsed="false">
      <c r="A89" s="52" t="n">
        <v>45467</v>
      </c>
      <c r="B89" s="4" t="s">
        <v>503</v>
      </c>
      <c r="C89" s="30" t="s">
        <v>504</v>
      </c>
      <c r="D89" s="51" t="n">
        <v>4</v>
      </c>
      <c r="E89" s="51" t="s">
        <v>654</v>
      </c>
      <c r="F89" s="46" t="n">
        <v>45462</v>
      </c>
      <c r="G89" s="47" t="n">
        <v>458.89</v>
      </c>
      <c r="H89" s="47" t="n">
        <v>1835.56</v>
      </c>
      <c r="I89" s="47" t="n">
        <v>330.4008</v>
      </c>
      <c r="J89" s="47" t="n">
        <v>31.36</v>
      </c>
      <c r="K89" s="47" t="n">
        <v>2197.3208</v>
      </c>
      <c r="L89" s="17" t="s">
        <v>651</v>
      </c>
    </row>
    <row r="90" customFormat="false" ht="15" hidden="false" customHeight="false" outlineLevel="0" collapsed="false">
      <c r="A90" s="52" t="n">
        <v>45468</v>
      </c>
      <c r="B90" s="4" t="s">
        <v>416</v>
      </c>
      <c r="C90" s="30" t="s">
        <v>670</v>
      </c>
      <c r="D90" s="51" t="n">
        <v>4</v>
      </c>
      <c r="E90" s="51" t="s">
        <v>671</v>
      </c>
      <c r="F90" s="46" t="n">
        <v>45468</v>
      </c>
      <c r="G90" s="47" t="n">
        <v>5397</v>
      </c>
      <c r="H90" s="47" t="n">
        <v>21588</v>
      </c>
      <c r="I90" s="47" t="n">
        <v>3885.84</v>
      </c>
      <c r="J90" s="47" t="n">
        <v>0</v>
      </c>
      <c r="K90" s="47" t="n">
        <v>25473.84</v>
      </c>
      <c r="L90" s="17" t="s">
        <v>651</v>
      </c>
    </row>
    <row r="91" customFormat="false" ht="15" hidden="false" customHeight="false" outlineLevel="0" collapsed="false">
      <c r="A91" s="52" t="n">
        <v>45468</v>
      </c>
      <c r="B91" s="4" t="s">
        <v>44</v>
      </c>
      <c r="C91" s="30" t="s">
        <v>672</v>
      </c>
      <c r="D91" s="51" t="n">
        <v>3</v>
      </c>
      <c r="E91" s="51" t="s">
        <v>671</v>
      </c>
      <c r="F91" s="46" t="n">
        <v>45468</v>
      </c>
      <c r="G91" s="47" t="n">
        <v>1420</v>
      </c>
      <c r="H91" s="47" t="n">
        <v>4260</v>
      </c>
      <c r="I91" s="47" t="n">
        <v>766.8</v>
      </c>
      <c r="J91" s="47" t="n">
        <v>0</v>
      </c>
      <c r="K91" s="47" t="n">
        <v>5026.8</v>
      </c>
      <c r="L91" s="17" t="s">
        <v>651</v>
      </c>
    </row>
    <row r="92" customFormat="false" ht="15" hidden="false" customHeight="false" outlineLevel="0" collapsed="false">
      <c r="A92" s="52" t="n">
        <v>45468</v>
      </c>
      <c r="B92" s="4" t="s">
        <v>35</v>
      </c>
      <c r="C92" s="30" t="s">
        <v>673</v>
      </c>
      <c r="D92" s="51" t="n">
        <v>1</v>
      </c>
      <c r="E92" s="51" t="s">
        <v>671</v>
      </c>
      <c r="F92" s="46" t="n">
        <v>45468</v>
      </c>
      <c r="G92" s="47" t="n">
        <v>1162</v>
      </c>
      <c r="H92" s="47" t="n">
        <v>1162</v>
      </c>
      <c r="I92" s="47" t="n">
        <v>209.16</v>
      </c>
      <c r="J92" s="47" t="n">
        <v>0</v>
      </c>
      <c r="K92" s="47" t="n">
        <v>1371.16</v>
      </c>
      <c r="L92" s="17" t="s">
        <v>651</v>
      </c>
    </row>
    <row r="93" customFormat="false" ht="15" hidden="false" customHeight="false" outlineLevel="0" collapsed="false">
      <c r="A93" s="52" t="n">
        <v>45468</v>
      </c>
      <c r="B93" s="4" t="s">
        <v>65</v>
      </c>
      <c r="C93" s="30" t="s">
        <v>689</v>
      </c>
      <c r="D93" s="51" t="n">
        <v>30</v>
      </c>
      <c r="E93" s="51" t="s">
        <v>769</v>
      </c>
      <c r="F93" s="15" t="s">
        <v>65</v>
      </c>
      <c r="G93" s="47" t="n">
        <v>12</v>
      </c>
      <c r="H93" s="47" t="n">
        <f aca="false">G93*D93</f>
        <v>360</v>
      </c>
      <c r="I93" s="47" t="n">
        <v>0</v>
      </c>
      <c r="J93" s="47" t="n">
        <v>0</v>
      </c>
      <c r="K93" s="47" t="n">
        <f aca="false">H93+I93+J93</f>
        <v>360</v>
      </c>
      <c r="L93" s="17" t="s">
        <v>635</v>
      </c>
    </row>
    <row r="94" customFormat="false" ht="15" hidden="false" customHeight="false" outlineLevel="0" collapsed="false">
      <c r="A94" s="52" t="n">
        <v>45469</v>
      </c>
      <c r="B94" s="4" t="s">
        <v>443</v>
      </c>
      <c r="C94" s="30" t="s">
        <v>674</v>
      </c>
      <c r="D94" s="51" t="n">
        <v>2</v>
      </c>
      <c r="E94" s="51" t="s">
        <v>675</v>
      </c>
      <c r="F94" s="46" t="n">
        <v>45467</v>
      </c>
      <c r="G94" s="47" t="n">
        <v>4420</v>
      </c>
      <c r="H94" s="47" t="n">
        <v>8840</v>
      </c>
      <c r="I94" s="47" t="n">
        <v>442</v>
      </c>
      <c r="J94" s="47" t="n">
        <v>0</v>
      </c>
      <c r="K94" s="47" t="n">
        <v>9282</v>
      </c>
      <c r="L94" s="17" t="s">
        <v>651</v>
      </c>
    </row>
    <row r="95" customFormat="false" ht="15" hidden="false" customHeight="false" outlineLevel="0" collapsed="false">
      <c r="A95" s="52" t="n">
        <v>45469</v>
      </c>
      <c r="B95" s="4" t="s">
        <v>460</v>
      </c>
      <c r="C95" s="30" t="s">
        <v>676</v>
      </c>
      <c r="D95" s="51" t="n">
        <v>2</v>
      </c>
      <c r="E95" s="51" t="s">
        <v>675</v>
      </c>
      <c r="F95" s="46" t="n">
        <v>45467</v>
      </c>
      <c r="G95" s="47" t="n">
        <v>3900</v>
      </c>
      <c r="H95" s="47" t="n">
        <v>7800</v>
      </c>
      <c r="I95" s="47" t="n">
        <v>390</v>
      </c>
      <c r="J95" s="47" t="n">
        <v>0</v>
      </c>
      <c r="K95" s="47" t="n">
        <v>8190</v>
      </c>
      <c r="L95" s="17" t="s">
        <v>651</v>
      </c>
    </row>
    <row r="96" customFormat="false" ht="15" hidden="false" customHeight="false" outlineLevel="0" collapsed="false">
      <c r="A96" s="52" t="n">
        <v>45469</v>
      </c>
      <c r="B96" s="4" t="s">
        <v>462</v>
      </c>
      <c r="C96" s="30" t="s">
        <v>677</v>
      </c>
      <c r="D96" s="51" t="n">
        <v>2</v>
      </c>
      <c r="E96" s="51" t="s">
        <v>675</v>
      </c>
      <c r="F96" s="46" t="n">
        <v>45467</v>
      </c>
      <c r="G96" s="47" t="n">
        <v>500</v>
      </c>
      <c r="H96" s="47" t="n">
        <v>1000</v>
      </c>
      <c r="I96" s="47" t="n">
        <v>50</v>
      </c>
      <c r="J96" s="47" t="n">
        <v>0</v>
      </c>
      <c r="K96" s="47" t="n">
        <v>1050</v>
      </c>
      <c r="L96" s="17" t="s">
        <v>651</v>
      </c>
    </row>
    <row r="97" customFormat="false" ht="15" hidden="false" customHeight="false" outlineLevel="0" collapsed="false">
      <c r="A97" s="52" t="n">
        <v>45469</v>
      </c>
      <c r="B97" s="4" t="s">
        <v>242</v>
      </c>
      <c r="C97" s="30" t="s">
        <v>678</v>
      </c>
      <c r="D97" s="51" t="n">
        <v>2</v>
      </c>
      <c r="E97" s="51" t="s">
        <v>675</v>
      </c>
      <c r="F97" s="46" t="n">
        <v>45467</v>
      </c>
      <c r="G97" s="47" t="n">
        <v>29000</v>
      </c>
      <c r="H97" s="47" t="n">
        <v>58000</v>
      </c>
      <c r="I97" s="47" t="n">
        <v>2900</v>
      </c>
      <c r="J97" s="47" t="n">
        <v>0</v>
      </c>
      <c r="K97" s="47" t="n">
        <v>60900</v>
      </c>
      <c r="L97" s="17" t="s">
        <v>651</v>
      </c>
    </row>
    <row r="98" customFormat="false" ht="15" hidden="false" customHeight="false" outlineLevel="0" collapsed="false">
      <c r="A98" s="52" t="n">
        <v>45469</v>
      </c>
      <c r="B98" s="4" t="s">
        <v>255</v>
      </c>
      <c r="C98" s="30" t="s">
        <v>679</v>
      </c>
      <c r="D98" s="51" t="n">
        <v>2</v>
      </c>
      <c r="E98" s="51" t="s">
        <v>675</v>
      </c>
      <c r="F98" s="46" t="n">
        <v>45467</v>
      </c>
      <c r="G98" s="47" t="n">
        <v>18750</v>
      </c>
      <c r="H98" s="47" t="n">
        <v>37500</v>
      </c>
      <c r="I98" s="47" t="n">
        <v>1875</v>
      </c>
      <c r="J98" s="47" t="n">
        <v>0</v>
      </c>
      <c r="K98" s="47" t="n">
        <v>39375</v>
      </c>
      <c r="L98" s="17" t="s">
        <v>651</v>
      </c>
    </row>
    <row r="99" customFormat="false" ht="15" hidden="false" customHeight="false" outlineLevel="0" collapsed="false">
      <c r="A99" s="52" t="n">
        <v>45469</v>
      </c>
      <c r="B99" s="4" t="s">
        <v>65</v>
      </c>
      <c r="C99" s="30" t="s">
        <v>691</v>
      </c>
      <c r="D99" s="51" t="n">
        <v>2</v>
      </c>
      <c r="E99" s="51" t="s">
        <v>692</v>
      </c>
      <c r="F99" s="46" t="n">
        <v>45469</v>
      </c>
      <c r="G99" s="47" t="n">
        <v>4300</v>
      </c>
      <c r="H99" s="47" t="n">
        <f aca="false">G99*D99</f>
        <v>8600</v>
      </c>
      <c r="I99" s="47" t="n">
        <f aca="false">0.18*H99</f>
        <v>1548</v>
      </c>
      <c r="J99" s="47" t="n">
        <v>0</v>
      </c>
      <c r="K99" s="47" t="n">
        <f aca="false">H99+I99+J99</f>
        <v>10148</v>
      </c>
      <c r="L99" s="17" t="s">
        <v>635</v>
      </c>
    </row>
    <row r="100" customFormat="false" ht="15" hidden="false" customHeight="false" outlineLevel="0" collapsed="false">
      <c r="A100" s="52" t="n">
        <v>45469</v>
      </c>
      <c r="B100" s="4" t="s">
        <v>65</v>
      </c>
      <c r="C100" s="30" t="s">
        <v>693</v>
      </c>
      <c r="D100" s="51" t="n">
        <v>4</v>
      </c>
      <c r="E100" s="51" t="s">
        <v>692</v>
      </c>
      <c r="F100" s="46" t="n">
        <v>45469</v>
      </c>
      <c r="G100" s="47" t="n">
        <v>1600</v>
      </c>
      <c r="H100" s="47" t="n">
        <f aca="false">G100*D100</f>
        <v>6400</v>
      </c>
      <c r="I100" s="47" t="n">
        <f aca="false">0.18*H100</f>
        <v>1152</v>
      </c>
      <c r="J100" s="47" t="n">
        <v>0</v>
      </c>
      <c r="K100" s="47" t="n">
        <f aca="false">H100+I100+J100</f>
        <v>7552</v>
      </c>
      <c r="L100" s="17" t="s">
        <v>635</v>
      </c>
    </row>
    <row r="101" customFormat="false" ht="15" hidden="false" customHeight="false" outlineLevel="0" collapsed="false">
      <c r="A101" s="52" t="n">
        <v>45471</v>
      </c>
      <c r="B101" s="4" t="s">
        <v>95</v>
      </c>
      <c r="C101" s="30" t="s">
        <v>680</v>
      </c>
      <c r="D101" s="51" t="n">
        <v>2</v>
      </c>
      <c r="E101" s="51" t="s">
        <v>681</v>
      </c>
      <c r="F101" s="46" t="n">
        <v>45471</v>
      </c>
      <c r="G101" s="47" t="n">
        <v>1123</v>
      </c>
      <c r="H101" s="47" t="n">
        <v>2246</v>
      </c>
      <c r="I101" s="47" t="n">
        <v>112.3</v>
      </c>
      <c r="J101" s="47" t="n">
        <v>0</v>
      </c>
      <c r="K101" s="47" t="n">
        <v>2358.3</v>
      </c>
      <c r="L101" s="17" t="s">
        <v>651</v>
      </c>
    </row>
    <row r="102" customFormat="false" ht="15" hidden="false" customHeight="false" outlineLevel="0" collapsed="false">
      <c r="A102" s="52" t="n">
        <v>45471</v>
      </c>
      <c r="B102" s="4" t="s">
        <v>95</v>
      </c>
      <c r="C102" s="30" t="s">
        <v>682</v>
      </c>
      <c r="D102" s="51" t="n">
        <v>2</v>
      </c>
      <c r="E102" s="51" t="s">
        <v>681</v>
      </c>
      <c r="F102" s="46" t="n">
        <v>45471</v>
      </c>
      <c r="G102" s="47" t="n">
        <v>1149</v>
      </c>
      <c r="H102" s="47" t="n">
        <v>2298</v>
      </c>
      <c r="I102" s="47" t="n">
        <v>114.9</v>
      </c>
      <c r="J102" s="47" t="n">
        <v>0</v>
      </c>
      <c r="K102" s="47" t="n">
        <v>2412.9</v>
      </c>
      <c r="L102" s="17" t="s">
        <v>651</v>
      </c>
    </row>
    <row r="103" customFormat="false" ht="15" hidden="false" customHeight="false" outlineLevel="0" collapsed="false">
      <c r="A103" s="52" t="n">
        <v>45471</v>
      </c>
      <c r="B103" s="4" t="s">
        <v>95</v>
      </c>
      <c r="C103" s="30" t="s">
        <v>683</v>
      </c>
      <c r="D103" s="51" t="n">
        <v>1</v>
      </c>
      <c r="E103" s="51" t="s">
        <v>681</v>
      </c>
      <c r="F103" s="46" t="n">
        <v>45471</v>
      </c>
      <c r="G103" s="47" t="n">
        <v>542</v>
      </c>
      <c r="H103" s="47" t="n">
        <v>542</v>
      </c>
      <c r="I103" s="47" t="n">
        <v>27.1</v>
      </c>
      <c r="J103" s="47" t="n">
        <v>0</v>
      </c>
      <c r="K103" s="47" t="n">
        <v>569.1</v>
      </c>
      <c r="L103" s="17" t="s">
        <v>651</v>
      </c>
    </row>
    <row r="104" customFormat="false" ht="15" hidden="false" customHeight="false" outlineLevel="0" collapsed="false">
      <c r="A104" s="52" t="n">
        <v>45471</v>
      </c>
      <c r="B104" s="4" t="s">
        <v>95</v>
      </c>
      <c r="C104" s="30" t="s">
        <v>684</v>
      </c>
      <c r="D104" s="51" t="n">
        <v>2</v>
      </c>
      <c r="E104" s="51" t="s">
        <v>681</v>
      </c>
      <c r="F104" s="46" t="n">
        <v>45471</v>
      </c>
      <c r="G104" s="47" t="n">
        <v>353</v>
      </c>
      <c r="H104" s="47" t="n">
        <v>706</v>
      </c>
      <c r="I104" s="47" t="n">
        <v>35.3</v>
      </c>
      <c r="J104" s="47" t="n">
        <v>0</v>
      </c>
      <c r="K104" s="47" t="n">
        <v>741.3</v>
      </c>
      <c r="L104" s="17" t="s">
        <v>651</v>
      </c>
    </row>
    <row r="105" customFormat="false" ht="15" hidden="false" customHeight="false" outlineLevel="0" collapsed="false">
      <c r="A105" s="52" t="n">
        <v>45471</v>
      </c>
      <c r="B105" s="4" t="s">
        <v>488</v>
      </c>
      <c r="C105" s="30" t="s">
        <v>685</v>
      </c>
      <c r="D105" s="51" t="n">
        <v>1</v>
      </c>
      <c r="E105" s="51" t="s">
        <v>686</v>
      </c>
      <c r="F105" s="46" t="n">
        <v>45471</v>
      </c>
      <c r="G105" s="47" t="n">
        <v>700</v>
      </c>
      <c r="H105" s="47" t="n">
        <v>700</v>
      </c>
      <c r="I105" s="47" t="n">
        <v>126</v>
      </c>
      <c r="J105" s="47" t="n">
        <v>0</v>
      </c>
      <c r="K105" s="47" t="n">
        <v>826</v>
      </c>
      <c r="L105" s="17" t="s">
        <v>651</v>
      </c>
    </row>
    <row r="106" customFormat="false" ht="15" hidden="false" customHeight="false" outlineLevel="0" collapsed="false">
      <c r="A106" s="46" t="n">
        <v>45472</v>
      </c>
      <c r="B106" s="4" t="s">
        <v>498</v>
      </c>
      <c r="C106" s="29" t="s">
        <v>499</v>
      </c>
      <c r="D106" s="51" t="n">
        <v>2</v>
      </c>
      <c r="E106" s="51" t="s">
        <v>500</v>
      </c>
      <c r="F106" s="46" t="n">
        <v>45472</v>
      </c>
      <c r="G106" s="47" t="n">
        <v>1500</v>
      </c>
      <c r="H106" s="47" t="n">
        <v>3000</v>
      </c>
      <c r="I106" s="47" t="n">
        <v>576</v>
      </c>
      <c r="J106" s="47" t="n">
        <v>200</v>
      </c>
      <c r="K106" s="47" t="n">
        <f aca="false">H106+I106+J106</f>
        <v>3776</v>
      </c>
      <c r="L106" s="17" t="s">
        <v>687</v>
      </c>
    </row>
    <row r="107" customFormat="false" ht="15" hidden="false" customHeight="false" outlineLevel="0" collapsed="false">
      <c r="A107" s="46" t="n">
        <v>45472</v>
      </c>
      <c r="B107" s="4" t="s">
        <v>447</v>
      </c>
      <c r="C107" s="6" t="s">
        <v>694</v>
      </c>
      <c r="D107" s="51" t="n">
        <v>5</v>
      </c>
      <c r="E107" s="51" t="s">
        <v>455</v>
      </c>
      <c r="F107" s="46" t="n">
        <v>45472</v>
      </c>
      <c r="G107" s="47" t="n">
        <v>370</v>
      </c>
      <c r="H107" s="47" t="n">
        <v>1850</v>
      </c>
      <c r="I107" s="47" t="n">
        <v>333</v>
      </c>
      <c r="J107" s="47" t="n">
        <v>0</v>
      </c>
      <c r="K107" s="47" t="n">
        <v>2183</v>
      </c>
      <c r="L107" s="17" t="s">
        <v>635</v>
      </c>
    </row>
    <row r="108" customFormat="false" ht="15" hidden="false" customHeight="false" outlineLevel="0" collapsed="false">
      <c r="A108" s="46" t="n">
        <v>45472</v>
      </c>
      <c r="B108" s="4" t="s">
        <v>447</v>
      </c>
      <c r="C108" s="6" t="s">
        <v>695</v>
      </c>
      <c r="D108" s="51" t="n">
        <v>5</v>
      </c>
      <c r="E108" s="51" t="s">
        <v>455</v>
      </c>
      <c r="F108" s="46" t="n">
        <v>45472</v>
      </c>
      <c r="G108" s="47" t="n">
        <v>370</v>
      </c>
      <c r="H108" s="47" t="n">
        <v>1850</v>
      </c>
      <c r="I108" s="47" t="n">
        <v>333</v>
      </c>
      <c r="J108" s="47" t="n">
        <v>0</v>
      </c>
      <c r="K108" s="47" t="n">
        <v>2183</v>
      </c>
      <c r="L108" s="17" t="s">
        <v>635</v>
      </c>
    </row>
    <row r="109" customFormat="false" ht="15" hidden="false" customHeight="false" outlineLevel="0" collapsed="false">
      <c r="A109" s="46" t="n">
        <v>45472</v>
      </c>
      <c r="B109" s="4" t="s">
        <v>509</v>
      </c>
      <c r="C109" s="6" t="s">
        <v>510</v>
      </c>
      <c r="D109" s="51" t="n">
        <v>5</v>
      </c>
      <c r="E109" s="51" t="s">
        <v>455</v>
      </c>
      <c r="F109" s="46" t="n">
        <v>45472</v>
      </c>
      <c r="G109" s="47" t="n">
        <v>385</v>
      </c>
      <c r="H109" s="47" t="n">
        <v>1925</v>
      </c>
      <c r="I109" s="47" t="n">
        <v>346.5</v>
      </c>
      <c r="J109" s="47" t="n">
        <v>0</v>
      </c>
      <c r="K109" s="47" t="n">
        <v>2271.5</v>
      </c>
      <c r="L109" s="17" t="s">
        <v>635</v>
      </c>
    </row>
    <row r="110" customFormat="false" ht="15" hidden="false" customHeight="false" outlineLevel="0" collapsed="false">
      <c r="A110" s="46" t="n">
        <v>45474</v>
      </c>
      <c r="B110" s="4" t="s">
        <v>507</v>
      </c>
      <c r="C110" s="6" t="s">
        <v>508</v>
      </c>
      <c r="D110" s="51" t="n">
        <v>1</v>
      </c>
      <c r="E110" s="51" t="s">
        <v>690</v>
      </c>
      <c r="F110" s="46" t="n">
        <v>45472</v>
      </c>
      <c r="G110" s="47" t="n">
        <v>444</v>
      </c>
      <c r="H110" s="47" t="n">
        <f aca="false">G110*D110</f>
        <v>444</v>
      </c>
      <c r="I110" s="47" t="n">
        <v>0</v>
      </c>
      <c r="J110" s="47" t="n">
        <v>0</v>
      </c>
      <c r="K110" s="47" t="n">
        <f aca="false">H110+I110+J110</f>
        <v>444</v>
      </c>
      <c r="L110" s="17" t="s">
        <v>635</v>
      </c>
    </row>
    <row r="111" customFormat="false" ht="15" hidden="false" customHeight="false" outlineLevel="0" collapsed="false">
      <c r="A111" s="46" t="n">
        <v>45474</v>
      </c>
      <c r="B111" s="4" t="s">
        <v>514</v>
      </c>
      <c r="C111" s="6" t="s">
        <v>515</v>
      </c>
      <c r="D111" s="51" t="n">
        <v>3</v>
      </c>
      <c r="E111" s="51" t="s">
        <v>516</v>
      </c>
      <c r="F111" s="46" t="n">
        <v>45474</v>
      </c>
      <c r="G111" s="47" t="n">
        <v>75</v>
      </c>
      <c r="H111" s="47" t="n">
        <f aca="false">G111*D111</f>
        <v>225</v>
      </c>
      <c r="I111" s="47" t="n">
        <f aca="false">0.18*H111</f>
        <v>40.5</v>
      </c>
      <c r="J111" s="47" t="n">
        <v>0</v>
      </c>
      <c r="K111" s="47" t="n">
        <f aca="false">H111+I111+J111</f>
        <v>265.5</v>
      </c>
      <c r="L111" s="17" t="s">
        <v>687</v>
      </c>
    </row>
    <row r="112" customFormat="false" ht="15" hidden="false" customHeight="false" outlineLevel="0" collapsed="false">
      <c r="A112" s="46" t="n">
        <v>45475</v>
      </c>
      <c r="B112" s="4" t="s">
        <v>511</v>
      </c>
      <c r="C112" s="6" t="s">
        <v>513</v>
      </c>
      <c r="D112" s="51" t="n">
        <v>4</v>
      </c>
      <c r="E112" s="51" t="s">
        <v>70</v>
      </c>
      <c r="F112" s="46" t="n">
        <v>45472</v>
      </c>
      <c r="G112" s="47" t="n">
        <v>58.47</v>
      </c>
      <c r="H112" s="47" t="n">
        <f aca="false">G112*D112</f>
        <v>233.88</v>
      </c>
      <c r="I112" s="47" t="n">
        <f aca="false">0.18*H112</f>
        <v>42.0984</v>
      </c>
      <c r="J112" s="47" t="n">
        <v>0</v>
      </c>
      <c r="K112" s="47" t="n">
        <f aca="false">H112+I112+J112</f>
        <v>275.9784</v>
      </c>
      <c r="L112" s="17" t="s">
        <v>651</v>
      </c>
    </row>
    <row r="113" customFormat="false" ht="15" hidden="false" customHeight="false" outlineLevel="0" collapsed="false">
      <c r="A113" s="46" t="n">
        <v>45477</v>
      </c>
      <c r="B113" s="4" t="s">
        <v>488</v>
      </c>
      <c r="C113" s="6" t="s">
        <v>489</v>
      </c>
      <c r="D113" s="51" t="n">
        <v>2</v>
      </c>
      <c r="E113" s="51" t="s">
        <v>490</v>
      </c>
      <c r="F113" s="46" t="n">
        <v>45477</v>
      </c>
      <c r="G113" s="47" t="n">
        <v>350</v>
      </c>
      <c r="H113" s="47" t="n">
        <f aca="false">G113*D113</f>
        <v>700</v>
      </c>
      <c r="I113" s="47" t="n">
        <f aca="false">0.18*H113</f>
        <v>126</v>
      </c>
      <c r="J113" s="47" t="n">
        <v>0</v>
      </c>
      <c r="K113" s="47" t="n">
        <f aca="false">H113+I113+J113</f>
        <v>826</v>
      </c>
      <c r="L113" s="17" t="s">
        <v>687</v>
      </c>
    </row>
    <row r="114" customFormat="false" ht="15" hidden="false" customHeight="false" outlineLevel="0" collapsed="false">
      <c r="A114" s="46" t="n">
        <v>45477</v>
      </c>
      <c r="B114" s="4" t="s">
        <v>31</v>
      </c>
      <c r="C114" s="6" t="s">
        <v>688</v>
      </c>
      <c r="D114" s="51" t="n">
        <v>2</v>
      </c>
      <c r="E114" s="51" t="s">
        <v>23</v>
      </c>
      <c r="F114" s="46" t="n">
        <v>45477</v>
      </c>
      <c r="G114" s="47" t="n">
        <v>17500</v>
      </c>
      <c r="H114" s="47" t="n">
        <f aca="false">G114*D114</f>
        <v>35000</v>
      </c>
      <c r="I114" s="47" t="n">
        <f aca="false">0.18*H114</f>
        <v>6300</v>
      </c>
      <c r="J114" s="47" t="n">
        <v>0</v>
      </c>
      <c r="K114" s="47" t="n">
        <f aca="false">H114+I114+J114</f>
        <v>41300</v>
      </c>
      <c r="L114" s="17" t="s">
        <v>651</v>
      </c>
    </row>
    <row r="115" customFormat="false" ht="15" hidden="false" customHeight="false" outlineLevel="0" collapsed="false">
      <c r="A115" s="46" t="n">
        <v>45478</v>
      </c>
      <c r="B115" s="4" t="s">
        <v>517</v>
      </c>
      <c r="C115" s="6" t="s">
        <v>518</v>
      </c>
      <c r="D115" s="51" t="n">
        <v>1</v>
      </c>
      <c r="E115" s="51" t="s">
        <v>692</v>
      </c>
      <c r="F115" s="46" t="n">
        <v>45478</v>
      </c>
      <c r="G115" s="47" t="n">
        <v>6900</v>
      </c>
      <c r="H115" s="47" t="n">
        <f aca="false">G115*D115</f>
        <v>6900</v>
      </c>
      <c r="I115" s="47" t="n">
        <f aca="false">0.18*H115</f>
        <v>1242</v>
      </c>
      <c r="J115" s="47" t="n">
        <v>0</v>
      </c>
      <c r="K115" s="47" t="n">
        <f aca="false">H115+I115+J115</f>
        <v>8142</v>
      </c>
      <c r="L115" s="17" t="s">
        <v>635</v>
      </c>
    </row>
    <row r="116" customFormat="false" ht="15" hidden="false" customHeight="false" outlineLevel="0" collapsed="false">
      <c r="A116" s="46" t="n">
        <v>45479</v>
      </c>
      <c r="B116" s="4" t="s">
        <v>95</v>
      </c>
      <c r="C116" s="6" t="s">
        <v>696</v>
      </c>
      <c r="D116" s="51" t="n">
        <v>1</v>
      </c>
      <c r="E116" s="51" t="s">
        <v>98</v>
      </c>
      <c r="F116" s="46" t="n">
        <v>45479</v>
      </c>
      <c r="G116" s="47" t="n">
        <v>1081</v>
      </c>
      <c r="H116" s="47" t="n">
        <f aca="false">G116*D116</f>
        <v>1081</v>
      </c>
      <c r="I116" s="47" t="n">
        <f aca="false">0.12*H116</f>
        <v>129.72</v>
      </c>
      <c r="J116" s="47" t="n">
        <v>0</v>
      </c>
      <c r="K116" s="47" t="n">
        <f aca="false">H116+I116+J116</f>
        <v>1210.72</v>
      </c>
      <c r="L116" s="17" t="s">
        <v>697</v>
      </c>
    </row>
    <row r="117" customFormat="false" ht="15" hidden="false" customHeight="false" outlineLevel="0" collapsed="false">
      <c r="A117" s="46" t="n">
        <v>45479</v>
      </c>
      <c r="B117" s="4" t="s">
        <v>95</v>
      </c>
      <c r="C117" s="6" t="s">
        <v>698</v>
      </c>
      <c r="D117" s="51" t="n">
        <v>1</v>
      </c>
      <c r="E117" s="51" t="s">
        <v>98</v>
      </c>
      <c r="F117" s="46" t="n">
        <v>45479</v>
      </c>
      <c r="G117" s="47" t="n">
        <v>1650</v>
      </c>
      <c r="H117" s="47" t="n">
        <f aca="false">G117*D117</f>
        <v>1650</v>
      </c>
      <c r="I117" s="47" t="n">
        <f aca="false">0.12*H117</f>
        <v>198</v>
      </c>
      <c r="J117" s="47" t="n">
        <v>0</v>
      </c>
      <c r="K117" s="47" t="n">
        <f aca="false">H117+I117+J117</f>
        <v>1848</v>
      </c>
      <c r="L117" s="17" t="s">
        <v>697</v>
      </c>
    </row>
    <row r="118" customFormat="false" ht="15" hidden="false" customHeight="false" outlineLevel="0" collapsed="false">
      <c r="A118" s="46" t="n">
        <v>45479</v>
      </c>
      <c r="B118" s="4" t="s">
        <v>95</v>
      </c>
      <c r="C118" s="6" t="s">
        <v>699</v>
      </c>
      <c r="D118" s="51" t="n">
        <v>1</v>
      </c>
      <c r="E118" s="51" t="s">
        <v>98</v>
      </c>
      <c r="F118" s="46" t="n">
        <v>45479</v>
      </c>
      <c r="G118" s="47" t="n">
        <v>1281</v>
      </c>
      <c r="H118" s="47" t="n">
        <f aca="false">G118*D118</f>
        <v>1281</v>
      </c>
      <c r="I118" s="47" t="n">
        <f aca="false">0.12*H118</f>
        <v>153.72</v>
      </c>
      <c r="J118" s="47" t="n">
        <v>0</v>
      </c>
      <c r="K118" s="47" t="n">
        <f aca="false">H118+I118+J118</f>
        <v>1434.72</v>
      </c>
      <c r="L118" s="17" t="s">
        <v>697</v>
      </c>
    </row>
    <row r="119" customFormat="false" ht="15" hidden="false" customHeight="false" outlineLevel="0" collapsed="false">
      <c r="A119" s="46" t="n">
        <v>45479</v>
      </c>
      <c r="B119" s="4" t="s">
        <v>520</v>
      </c>
      <c r="C119" s="6" t="s">
        <v>521</v>
      </c>
      <c r="D119" s="51" t="n">
        <v>4</v>
      </c>
      <c r="E119" s="51" t="s">
        <v>108</v>
      </c>
      <c r="F119" s="46" t="n">
        <v>45478</v>
      </c>
      <c r="G119" s="47" t="n">
        <v>102</v>
      </c>
      <c r="H119" s="47" t="n">
        <f aca="false">G119*D119</f>
        <v>408</v>
      </c>
      <c r="I119" s="47" t="n">
        <f aca="false">0.18*H119</f>
        <v>73.44</v>
      </c>
      <c r="J119" s="47" t="n">
        <v>0</v>
      </c>
      <c r="K119" s="47" t="n">
        <f aca="false">H119+I119+J119</f>
        <v>481.44</v>
      </c>
      <c r="L119" s="17" t="s">
        <v>697</v>
      </c>
    </row>
    <row r="120" customFormat="false" ht="15" hidden="false" customHeight="false" outlineLevel="0" collapsed="false">
      <c r="A120" s="46" t="n">
        <v>45481</v>
      </c>
      <c r="B120" s="4" t="s">
        <v>103</v>
      </c>
      <c r="C120" s="69" t="s">
        <v>770</v>
      </c>
      <c r="D120" s="51" t="n">
        <v>6</v>
      </c>
      <c r="E120" s="51" t="s">
        <v>500</v>
      </c>
      <c r="F120" s="46" t="n">
        <v>45481</v>
      </c>
      <c r="G120" s="47" t="n">
        <v>795</v>
      </c>
      <c r="H120" s="47" t="n">
        <f aca="false">G120*D120</f>
        <v>4770</v>
      </c>
      <c r="I120" s="47" t="n">
        <f aca="false">0.18*H120</f>
        <v>858.6</v>
      </c>
      <c r="J120" s="47" t="n">
        <v>0</v>
      </c>
      <c r="K120" s="47" t="n">
        <f aca="false">H120+I120+J120</f>
        <v>5628.6</v>
      </c>
      <c r="L120" s="17" t="s">
        <v>697</v>
      </c>
    </row>
    <row r="121" customFormat="false" ht="15" hidden="false" customHeight="false" outlineLevel="0" collapsed="false">
      <c r="A121" s="46" t="n">
        <v>45481</v>
      </c>
      <c r="B121" s="4" t="s">
        <v>103</v>
      </c>
      <c r="C121" s="29" t="s">
        <v>700</v>
      </c>
      <c r="D121" s="51" t="n">
        <v>4</v>
      </c>
      <c r="E121" s="51" t="s">
        <v>102</v>
      </c>
      <c r="F121" s="46" t="n">
        <v>45479</v>
      </c>
      <c r="G121" s="47" t="n">
        <v>820</v>
      </c>
      <c r="H121" s="47" t="n">
        <f aca="false">G121*D121</f>
        <v>3280</v>
      </c>
      <c r="I121" s="47" t="n">
        <f aca="false">0.18*H121</f>
        <v>590.4</v>
      </c>
      <c r="J121" s="47" t="n">
        <v>0</v>
      </c>
      <c r="K121" s="47" t="n">
        <f aca="false">H121+I121+J121</f>
        <v>3870.4</v>
      </c>
      <c r="L121" s="17" t="s">
        <v>697</v>
      </c>
    </row>
    <row r="122" customFormat="false" ht="15" hidden="false" customHeight="false" outlineLevel="0" collapsed="false">
      <c r="A122" s="46" t="n">
        <v>45481</v>
      </c>
      <c r="B122" s="4" t="s">
        <v>103</v>
      </c>
      <c r="C122" s="29" t="s">
        <v>701</v>
      </c>
      <c r="D122" s="51" t="n">
        <v>1</v>
      </c>
      <c r="E122" s="51" t="s">
        <v>102</v>
      </c>
      <c r="F122" s="46" t="n">
        <v>45479</v>
      </c>
      <c r="G122" s="47" t="n">
        <v>1750</v>
      </c>
      <c r="H122" s="47" t="n">
        <f aca="false">G122*D122</f>
        <v>1750</v>
      </c>
      <c r="I122" s="47" t="n">
        <f aca="false">0.18*H122</f>
        <v>315</v>
      </c>
      <c r="J122" s="47" t="n">
        <v>0</v>
      </c>
      <c r="K122" s="47" t="n">
        <f aca="false">H122+I122+J122</f>
        <v>2065</v>
      </c>
      <c r="L122" s="17" t="s">
        <v>697</v>
      </c>
    </row>
    <row r="123" customFormat="false" ht="15" hidden="false" customHeight="false" outlineLevel="0" collapsed="false">
      <c r="A123" s="46" t="n">
        <v>45481</v>
      </c>
      <c r="B123" s="4" t="s">
        <v>103</v>
      </c>
      <c r="C123" s="29" t="s">
        <v>702</v>
      </c>
      <c r="D123" s="51" t="n">
        <v>1</v>
      </c>
      <c r="E123" s="51" t="s">
        <v>102</v>
      </c>
      <c r="F123" s="46" t="n">
        <v>45479</v>
      </c>
      <c r="G123" s="47" t="n">
        <v>1980</v>
      </c>
      <c r="H123" s="47" t="n">
        <f aca="false">G123*D123</f>
        <v>1980</v>
      </c>
      <c r="I123" s="47" t="n">
        <f aca="false">0.18*H123</f>
        <v>356.4</v>
      </c>
      <c r="J123" s="47" t="n">
        <v>0</v>
      </c>
      <c r="K123" s="47" t="n">
        <f aca="false">H123+I123+J123</f>
        <v>2336.4</v>
      </c>
      <c r="L123" s="17" t="s">
        <v>697</v>
      </c>
    </row>
    <row r="124" customFormat="false" ht="15" hidden="false" customHeight="false" outlineLevel="0" collapsed="false">
      <c r="A124" s="46" t="n">
        <v>45481</v>
      </c>
      <c r="B124" s="4" t="s">
        <v>103</v>
      </c>
      <c r="C124" s="29" t="s">
        <v>703</v>
      </c>
      <c r="D124" s="51" t="n">
        <v>4</v>
      </c>
      <c r="E124" s="51" t="s">
        <v>102</v>
      </c>
      <c r="F124" s="46" t="n">
        <v>45479</v>
      </c>
      <c r="G124" s="47" t="n">
        <v>422.3</v>
      </c>
      <c r="H124" s="47" t="n">
        <f aca="false">G124*D124</f>
        <v>1689.2</v>
      </c>
      <c r="I124" s="47" t="n">
        <f aca="false">0.18*H124</f>
        <v>304.056</v>
      </c>
      <c r="J124" s="47" t="n">
        <v>0</v>
      </c>
      <c r="K124" s="47" t="n">
        <f aca="false">H124+I124+J124</f>
        <v>1993.256</v>
      </c>
      <c r="L124" s="17" t="s">
        <v>697</v>
      </c>
    </row>
    <row r="125" customFormat="false" ht="15" hidden="false" customHeight="false" outlineLevel="0" collapsed="false">
      <c r="A125" s="46" t="n">
        <v>45482</v>
      </c>
      <c r="B125" s="4" t="s">
        <v>426</v>
      </c>
      <c r="C125" s="29" t="s">
        <v>709</v>
      </c>
      <c r="D125" s="51" t="n">
        <v>12</v>
      </c>
      <c r="E125" s="51" t="s">
        <v>762</v>
      </c>
      <c r="F125" s="46" t="n">
        <v>45482</v>
      </c>
      <c r="G125" s="47" t="n">
        <v>560</v>
      </c>
      <c r="H125" s="47" t="n">
        <f aca="false">G125*D125</f>
        <v>6720</v>
      </c>
      <c r="I125" s="47" t="n">
        <f aca="false">0.05*H125</f>
        <v>336</v>
      </c>
      <c r="J125" s="47" t="n">
        <v>0</v>
      </c>
      <c r="K125" s="47" t="n">
        <f aca="false">H125+I125+J125</f>
        <v>7056</v>
      </c>
      <c r="L125" s="17" t="s">
        <v>687</v>
      </c>
    </row>
    <row r="126" customFormat="false" ht="15" hidden="false" customHeight="false" outlineLevel="0" collapsed="false">
      <c r="A126" s="46" t="n">
        <v>45482</v>
      </c>
      <c r="B126" s="4" t="s">
        <v>95</v>
      </c>
      <c r="C126" s="29" t="s">
        <v>771</v>
      </c>
      <c r="D126" s="51" t="n">
        <v>1</v>
      </c>
      <c r="E126" s="51" t="s">
        <v>98</v>
      </c>
      <c r="F126" s="46" t="n">
        <v>45481</v>
      </c>
      <c r="G126" s="47" t="n">
        <v>1039</v>
      </c>
      <c r="H126" s="47" t="n">
        <f aca="false">G126*D126</f>
        <v>1039</v>
      </c>
      <c r="I126" s="47" t="n">
        <f aca="false">0.12*H126</f>
        <v>124.68</v>
      </c>
      <c r="J126" s="47" t="n">
        <v>0</v>
      </c>
      <c r="K126" s="47" t="n">
        <f aca="false">H126+I126+J126</f>
        <v>1163.68</v>
      </c>
      <c r="L126" s="17" t="s">
        <v>697</v>
      </c>
    </row>
    <row r="127" customFormat="false" ht="15" hidden="false" customHeight="false" outlineLevel="0" collapsed="false">
      <c r="A127" s="46" t="n">
        <v>45482</v>
      </c>
      <c r="B127" s="4" t="s">
        <v>95</v>
      </c>
      <c r="C127" s="29" t="s">
        <v>772</v>
      </c>
      <c r="D127" s="51" t="n">
        <v>1</v>
      </c>
      <c r="E127" s="51" t="s">
        <v>98</v>
      </c>
      <c r="F127" s="46" t="n">
        <v>45481</v>
      </c>
      <c r="G127" s="47" t="n">
        <v>475</v>
      </c>
      <c r="H127" s="47" t="n">
        <f aca="false">G127*D127</f>
        <v>475</v>
      </c>
      <c r="I127" s="47" t="n">
        <f aca="false">0.12*H127</f>
        <v>57</v>
      </c>
      <c r="J127" s="47" t="n">
        <v>0</v>
      </c>
      <c r="K127" s="47" t="n">
        <f aca="false">H127+I127+J127</f>
        <v>532</v>
      </c>
      <c r="L127" s="17" t="s">
        <v>697</v>
      </c>
    </row>
    <row r="128" customFormat="false" ht="15" hidden="false" customHeight="false" outlineLevel="0" collapsed="false">
      <c r="A128" s="46" t="n">
        <v>45482</v>
      </c>
      <c r="B128" s="4" t="s">
        <v>441</v>
      </c>
      <c r="C128" s="29" t="s">
        <v>442</v>
      </c>
      <c r="D128" s="51" t="n">
        <v>12</v>
      </c>
      <c r="E128" s="51" t="s">
        <v>23</v>
      </c>
      <c r="F128" s="46" t="n">
        <v>45477</v>
      </c>
      <c r="G128" s="47" t="n">
        <v>2750</v>
      </c>
      <c r="H128" s="47" t="n">
        <f aca="false">G128*D128</f>
        <v>33000</v>
      </c>
      <c r="I128" s="47" t="n">
        <f aca="false">0.18*H128</f>
        <v>5940</v>
      </c>
      <c r="J128" s="47" t="n">
        <v>0</v>
      </c>
      <c r="K128" s="47" t="n">
        <f aca="false">H128+I128+J128</f>
        <v>38940</v>
      </c>
      <c r="L128" s="17" t="s">
        <v>651</v>
      </c>
    </row>
    <row r="129" customFormat="false" ht="15" hidden="false" customHeight="false" outlineLevel="0" collapsed="false">
      <c r="A129" s="46" t="n">
        <v>45484</v>
      </c>
      <c r="B129" s="4" t="s">
        <v>522</v>
      </c>
      <c r="C129" s="69" t="s">
        <v>773</v>
      </c>
      <c r="D129" s="51" t="n">
        <v>4</v>
      </c>
      <c r="E129" s="71" t="s">
        <v>774</v>
      </c>
      <c r="F129" s="46" t="n">
        <v>45483</v>
      </c>
      <c r="G129" s="47" t="n">
        <v>5500</v>
      </c>
      <c r="H129" s="47" t="n">
        <f aca="false">G129*D129</f>
        <v>22000</v>
      </c>
      <c r="I129" s="47" t="n">
        <f aca="false">0.18*H129</f>
        <v>3960</v>
      </c>
      <c r="J129" s="47" t="n">
        <v>0</v>
      </c>
      <c r="K129" s="47" t="n">
        <f aca="false">H129+I129+J129</f>
        <v>25960</v>
      </c>
      <c r="L129" s="17" t="s">
        <v>697</v>
      </c>
      <c r="M129" s="74"/>
    </row>
    <row r="130" customFormat="false" ht="15" hidden="false" customHeight="false" outlineLevel="0" collapsed="false">
      <c r="A130" s="46" t="n">
        <v>45483</v>
      </c>
      <c r="B130" s="4" t="s">
        <v>524</v>
      </c>
      <c r="C130" s="69" t="s">
        <v>775</v>
      </c>
      <c r="D130" s="51" t="n">
        <v>1</v>
      </c>
      <c r="E130" s="71" t="s">
        <v>774</v>
      </c>
      <c r="F130" s="46" t="n">
        <v>45483</v>
      </c>
      <c r="G130" s="47" t="n">
        <v>5400</v>
      </c>
      <c r="H130" s="47" t="n">
        <f aca="false">G130*D130</f>
        <v>5400</v>
      </c>
      <c r="I130" s="47" t="n">
        <f aca="false">0.18*H130</f>
        <v>972</v>
      </c>
      <c r="J130" s="47" t="n">
        <v>0</v>
      </c>
      <c r="K130" s="47" t="n">
        <f aca="false">H130+I130+J130</f>
        <v>6372</v>
      </c>
      <c r="L130" s="17" t="s">
        <v>697</v>
      </c>
      <c r="M130" s="74"/>
    </row>
    <row r="131" customFormat="false" ht="15" hidden="false" customHeight="false" outlineLevel="0" collapsed="false">
      <c r="A131" s="46" t="n">
        <v>45483</v>
      </c>
      <c r="B131" s="4" t="s">
        <v>531</v>
      </c>
      <c r="C131" s="19" t="s">
        <v>532</v>
      </c>
      <c r="D131" s="71" t="n">
        <v>3</v>
      </c>
      <c r="E131" s="71" t="s">
        <v>774</v>
      </c>
      <c r="F131" s="46" t="n">
        <v>45483</v>
      </c>
      <c r="G131" s="47" t="n">
        <v>17650</v>
      </c>
      <c r="H131" s="47" t="n">
        <f aca="false">G131*D131</f>
        <v>52950</v>
      </c>
      <c r="I131" s="47" t="n">
        <f aca="false">0.18*H131</f>
        <v>9531</v>
      </c>
      <c r="J131" s="47" t="n">
        <v>0</v>
      </c>
      <c r="K131" s="47" t="n">
        <f aca="false">H131+I131+J131</f>
        <v>62481</v>
      </c>
      <c r="L131" s="17" t="s">
        <v>697</v>
      </c>
      <c r="M131" s="74"/>
    </row>
    <row r="132" customFormat="false" ht="15" hidden="false" customHeight="false" outlineLevel="0" collapsed="false">
      <c r="A132" s="46" t="n">
        <v>45483</v>
      </c>
      <c r="B132" s="4" t="s">
        <v>103</v>
      </c>
      <c r="C132" s="19" t="s">
        <v>708</v>
      </c>
      <c r="D132" s="71" t="n">
        <v>1</v>
      </c>
      <c r="E132" s="71" t="s">
        <v>650</v>
      </c>
      <c r="F132" s="46" t="n">
        <v>45482</v>
      </c>
      <c r="G132" s="47" t="n">
        <v>2739.1</v>
      </c>
      <c r="H132" s="47" t="n">
        <f aca="false">G132*D132</f>
        <v>2739.1</v>
      </c>
      <c r="I132" s="47" t="n">
        <f aca="false">0.18*H132</f>
        <v>493.038</v>
      </c>
      <c r="J132" s="47" t="n">
        <v>0</v>
      </c>
      <c r="K132" s="47" t="n">
        <f aca="false">H132+I132+J132</f>
        <v>3232.138</v>
      </c>
      <c r="L132" s="17" t="s">
        <v>697</v>
      </c>
      <c r="M132" s="74"/>
    </row>
    <row r="133" customFormat="false" ht="15" hidden="false" customHeight="false" outlineLevel="0" collapsed="false">
      <c r="A133" s="46" t="n">
        <v>45484</v>
      </c>
      <c r="B133" s="4" t="s">
        <v>103</v>
      </c>
      <c r="C133" s="29" t="s">
        <v>776</v>
      </c>
      <c r="D133" s="51" t="n">
        <v>1</v>
      </c>
      <c r="E133" s="71" t="s">
        <v>650</v>
      </c>
      <c r="F133" s="46" t="n">
        <v>45483</v>
      </c>
      <c r="G133" s="47" t="n">
        <v>2231.7</v>
      </c>
      <c r="H133" s="47" t="n">
        <f aca="false">G133*D133</f>
        <v>2231.7</v>
      </c>
      <c r="I133" s="47" t="n">
        <f aca="false">0.18*H133</f>
        <v>401.706</v>
      </c>
      <c r="J133" s="47" t="n">
        <v>0</v>
      </c>
      <c r="K133" s="47" t="n">
        <f aca="false">H133+I133+J133</f>
        <v>2633.406</v>
      </c>
      <c r="L133" s="17" t="s">
        <v>697</v>
      </c>
    </row>
    <row r="134" customFormat="false" ht="15" hidden="false" customHeight="false" outlineLevel="0" collapsed="false">
      <c r="A134" s="46" t="n">
        <v>45485</v>
      </c>
      <c r="B134" s="4" t="s">
        <v>95</v>
      </c>
      <c r="C134" s="29" t="s">
        <v>777</v>
      </c>
      <c r="D134" s="51" t="n">
        <v>1</v>
      </c>
      <c r="E134" s="71" t="s">
        <v>681</v>
      </c>
      <c r="F134" s="46" t="n">
        <v>45485</v>
      </c>
      <c r="G134" s="47" t="n">
        <v>961</v>
      </c>
      <c r="H134" s="47" t="n">
        <f aca="false">G134*D134</f>
        <v>961</v>
      </c>
      <c r="I134" s="47" t="n">
        <f aca="false">0.12*H134</f>
        <v>115.32</v>
      </c>
      <c r="J134" s="47" t="n">
        <v>0</v>
      </c>
      <c r="K134" s="47" t="n">
        <f aca="false">H134+I134+J134</f>
        <v>1076.32</v>
      </c>
      <c r="L134" s="17" t="s">
        <v>697</v>
      </c>
    </row>
    <row r="135" customFormat="false" ht="15" hidden="false" customHeight="false" outlineLevel="0" collapsed="false">
      <c r="A135" s="46" t="n">
        <v>45488</v>
      </c>
      <c r="B135" s="4" t="s">
        <v>537</v>
      </c>
      <c r="C135" s="29" t="s">
        <v>539</v>
      </c>
      <c r="D135" s="51" t="n">
        <v>1</v>
      </c>
      <c r="E135" s="71" t="s">
        <v>612</v>
      </c>
      <c r="F135" s="46" t="n">
        <v>45483</v>
      </c>
      <c r="G135" s="47" t="n">
        <v>33000</v>
      </c>
      <c r="H135" s="47" t="n">
        <f aca="false">G135*D135</f>
        <v>33000</v>
      </c>
      <c r="I135" s="47" t="n">
        <f aca="false">0.18*H135</f>
        <v>5940</v>
      </c>
      <c r="J135" s="47" t="n">
        <v>0</v>
      </c>
      <c r="K135" s="47" t="n">
        <f aca="false">H135+I135+J135</f>
        <v>38940</v>
      </c>
      <c r="L135" s="17" t="s">
        <v>697</v>
      </c>
    </row>
    <row r="136" customFormat="false" ht="15" hidden="false" customHeight="false" outlineLevel="0" collapsed="false">
      <c r="A136" s="46" t="n">
        <v>45488</v>
      </c>
      <c r="B136" s="4" t="s">
        <v>541</v>
      </c>
      <c r="C136" s="29" t="s">
        <v>543</v>
      </c>
      <c r="D136" s="51" t="n">
        <v>2</v>
      </c>
      <c r="E136" s="71" t="s">
        <v>23</v>
      </c>
      <c r="F136" s="46" t="n">
        <v>45488</v>
      </c>
      <c r="G136" s="47" t="n">
        <v>5600</v>
      </c>
      <c r="H136" s="47" t="n">
        <f aca="false">G136*D136</f>
        <v>11200</v>
      </c>
      <c r="I136" s="47" t="n">
        <f aca="false">0.18*H136</f>
        <v>2016</v>
      </c>
      <c r="J136" s="47" t="n">
        <v>0</v>
      </c>
      <c r="K136" s="47" t="n">
        <f aca="false">H136+I136+J136</f>
        <v>13216</v>
      </c>
      <c r="L136" s="17" t="s">
        <v>697</v>
      </c>
    </row>
    <row r="137" customFormat="false" ht="15" hidden="false" customHeight="false" outlineLevel="0" collapsed="false">
      <c r="A137" s="46" t="n">
        <v>45488</v>
      </c>
      <c r="B137" s="4" t="s">
        <v>544</v>
      </c>
      <c r="C137" s="29" t="s">
        <v>545</v>
      </c>
      <c r="D137" s="51" t="n">
        <v>1</v>
      </c>
      <c r="E137" s="71" t="s">
        <v>23</v>
      </c>
      <c r="F137" s="46" t="n">
        <v>45488</v>
      </c>
      <c r="G137" s="47" t="n">
        <v>4800</v>
      </c>
      <c r="H137" s="47" t="n">
        <f aca="false">G137*D137</f>
        <v>4800</v>
      </c>
      <c r="I137" s="47" t="n">
        <f aca="false">0.18*H137</f>
        <v>864</v>
      </c>
      <c r="J137" s="47" t="n">
        <v>0</v>
      </c>
      <c r="K137" s="47" t="n">
        <f aca="false">H137+I137+J137</f>
        <v>5664</v>
      </c>
      <c r="L137" s="17" t="s">
        <v>697</v>
      </c>
    </row>
    <row r="138" customFormat="false" ht="15" hidden="false" customHeight="false" outlineLevel="0" collapsed="false">
      <c r="A138" s="46" t="n">
        <v>45488</v>
      </c>
      <c r="B138" s="4" t="s">
        <v>546</v>
      </c>
      <c r="C138" s="29" t="s">
        <v>547</v>
      </c>
      <c r="D138" s="51" t="n">
        <v>1</v>
      </c>
      <c r="E138" s="71" t="s">
        <v>23</v>
      </c>
      <c r="F138" s="46" t="n">
        <v>45488</v>
      </c>
      <c r="G138" s="47" t="n">
        <v>35000</v>
      </c>
      <c r="H138" s="47" t="n">
        <f aca="false">G138*D138</f>
        <v>35000</v>
      </c>
      <c r="I138" s="47" t="n">
        <f aca="false">0.18*H138</f>
        <v>6300</v>
      </c>
      <c r="J138" s="47" t="n">
        <v>0</v>
      </c>
      <c r="K138" s="47" t="n">
        <f aca="false">H138+I138+J138</f>
        <v>41300</v>
      </c>
      <c r="L138" s="17" t="s">
        <v>697</v>
      </c>
    </row>
    <row r="139" customFormat="false" ht="15" hidden="false" customHeight="false" outlineLevel="0" collapsed="false">
      <c r="A139" s="46" t="n">
        <v>45489</v>
      </c>
      <c r="B139" s="4" t="s">
        <v>526</v>
      </c>
      <c r="C139" s="29" t="s">
        <v>528</v>
      </c>
      <c r="D139" s="51" t="n">
        <v>2</v>
      </c>
      <c r="E139" s="71" t="s">
        <v>671</v>
      </c>
      <c r="F139" s="46" t="n">
        <v>45489</v>
      </c>
      <c r="G139" s="47" t="n">
        <v>3395</v>
      </c>
      <c r="H139" s="47" t="n">
        <f aca="false">G139*D139</f>
        <v>6790</v>
      </c>
      <c r="I139" s="47" t="n">
        <f aca="false">0.18*H139</f>
        <v>1222.2</v>
      </c>
      <c r="J139" s="47" t="n">
        <v>0</v>
      </c>
      <c r="K139" s="47" t="n">
        <f aca="false">H139+I139+J139</f>
        <v>8012.2</v>
      </c>
      <c r="L139" s="17" t="s">
        <v>697</v>
      </c>
    </row>
    <row r="140" customFormat="false" ht="15" hidden="false" customHeight="false" outlineLevel="0" collapsed="false">
      <c r="A140" s="46" t="n">
        <v>45489</v>
      </c>
      <c r="B140" s="4" t="s">
        <v>529</v>
      </c>
      <c r="C140" s="29" t="s">
        <v>530</v>
      </c>
      <c r="D140" s="51" t="n">
        <v>3</v>
      </c>
      <c r="E140" s="71" t="s">
        <v>671</v>
      </c>
      <c r="F140" s="46" t="n">
        <v>45489</v>
      </c>
      <c r="G140" s="47" t="n">
        <v>1775</v>
      </c>
      <c r="H140" s="47" t="n">
        <f aca="false">G140*D140</f>
        <v>5325</v>
      </c>
      <c r="I140" s="47" t="n">
        <f aca="false">0.18*H140</f>
        <v>958.5</v>
      </c>
      <c r="J140" s="47" t="n">
        <v>0</v>
      </c>
      <c r="K140" s="47" t="n">
        <f aca="false">H140+I140+J140</f>
        <v>6283.5</v>
      </c>
      <c r="L140" s="17" t="s">
        <v>697</v>
      </c>
    </row>
    <row r="141" customFormat="false" ht="15" hidden="false" customHeight="false" outlineLevel="0" collapsed="false">
      <c r="A141" s="46" t="n">
        <v>45489</v>
      </c>
      <c r="B141" s="4" t="s">
        <v>103</v>
      </c>
      <c r="C141" s="29" t="s">
        <v>707</v>
      </c>
      <c r="D141" s="51" t="n">
        <v>1</v>
      </c>
      <c r="E141" s="71" t="s">
        <v>102</v>
      </c>
      <c r="F141" s="46" t="n">
        <v>45488</v>
      </c>
      <c r="G141" s="47" t="n">
        <v>2231.7</v>
      </c>
      <c r="H141" s="47" t="n">
        <f aca="false">G141*D141</f>
        <v>2231.7</v>
      </c>
      <c r="I141" s="47" t="n">
        <f aca="false">0.18*H141</f>
        <v>401.706</v>
      </c>
      <c r="J141" s="47" t="n">
        <v>0</v>
      </c>
      <c r="K141" s="47" t="n">
        <f aca="false">H141+I141+J141</f>
        <v>2633.406</v>
      </c>
      <c r="L141" s="17" t="s">
        <v>697</v>
      </c>
    </row>
    <row r="142" customFormat="false" ht="15" hidden="false" customHeight="false" outlineLevel="0" collapsed="false">
      <c r="A142" s="46" t="n">
        <v>45489</v>
      </c>
      <c r="B142" s="4" t="s">
        <v>103</v>
      </c>
      <c r="C142" s="29" t="s">
        <v>711</v>
      </c>
      <c r="D142" s="51" t="n">
        <v>3</v>
      </c>
      <c r="E142" s="71" t="s">
        <v>102</v>
      </c>
      <c r="F142" s="46" t="n">
        <v>45488</v>
      </c>
      <c r="G142" s="47" t="n">
        <v>614.9</v>
      </c>
      <c r="H142" s="47" t="n">
        <f aca="false">G142*D142</f>
        <v>1844.7</v>
      </c>
      <c r="I142" s="47" t="n">
        <f aca="false">0.18*H142</f>
        <v>332.046</v>
      </c>
      <c r="J142" s="47" t="n">
        <v>0</v>
      </c>
      <c r="K142" s="47" t="n">
        <f aca="false">H142+I142+J142</f>
        <v>2176.746</v>
      </c>
      <c r="L142" s="17" t="s">
        <v>697</v>
      </c>
    </row>
    <row r="143" customFormat="false" ht="15" hidden="false" customHeight="false" outlineLevel="0" collapsed="false">
      <c r="A143" s="46" t="n">
        <v>45492</v>
      </c>
      <c r="B143" s="4" t="s">
        <v>95</v>
      </c>
      <c r="C143" s="29" t="s">
        <v>778</v>
      </c>
      <c r="D143" s="51" t="n">
        <v>1</v>
      </c>
      <c r="E143" s="71" t="s">
        <v>681</v>
      </c>
      <c r="F143" s="46" t="n">
        <v>45492</v>
      </c>
      <c r="G143" s="47" t="n">
        <v>539</v>
      </c>
      <c r="H143" s="47" t="n">
        <f aca="false">G143*D143</f>
        <v>539</v>
      </c>
      <c r="I143" s="47" t="n">
        <f aca="false">0.12*H143</f>
        <v>64.68</v>
      </c>
      <c r="J143" s="47" t="n">
        <v>0</v>
      </c>
      <c r="K143" s="47" t="n">
        <f aca="false">H143+I143+J143</f>
        <v>603.68</v>
      </c>
      <c r="L143" s="17" t="s">
        <v>697</v>
      </c>
    </row>
    <row r="144" customFormat="false" ht="15" hidden="false" customHeight="false" outlineLevel="0" collapsed="false">
      <c r="A144" s="46" t="n">
        <v>45492</v>
      </c>
      <c r="B144" s="4" t="s">
        <v>95</v>
      </c>
      <c r="C144" s="29" t="s">
        <v>779</v>
      </c>
      <c r="D144" s="51" t="n">
        <v>1</v>
      </c>
      <c r="E144" s="71" t="s">
        <v>681</v>
      </c>
      <c r="F144" s="46" t="n">
        <v>45492</v>
      </c>
      <c r="G144" s="47" t="n">
        <v>446</v>
      </c>
      <c r="H144" s="47" t="n">
        <f aca="false">G144*D144</f>
        <v>446</v>
      </c>
      <c r="I144" s="47" t="n">
        <f aca="false">0.12*H144</f>
        <v>53.52</v>
      </c>
      <c r="J144" s="47" t="n">
        <v>0</v>
      </c>
      <c r="K144" s="47" t="n">
        <f aca="false">H144+I144+J144</f>
        <v>499.52</v>
      </c>
      <c r="L144" s="17" t="s">
        <v>697</v>
      </c>
    </row>
    <row r="145" customFormat="false" ht="15" hidden="false" customHeight="false" outlineLevel="0" collapsed="false">
      <c r="A145" s="46" t="n">
        <v>45495</v>
      </c>
      <c r="B145" s="4" t="s">
        <v>95</v>
      </c>
      <c r="C145" s="29" t="s">
        <v>715</v>
      </c>
      <c r="D145" s="51" t="n">
        <v>3</v>
      </c>
      <c r="E145" s="71" t="s">
        <v>681</v>
      </c>
      <c r="F145" s="46" t="n">
        <v>45495</v>
      </c>
      <c r="G145" s="47" t="n">
        <v>316</v>
      </c>
      <c r="H145" s="47" t="n">
        <f aca="false">G145*D145</f>
        <v>948</v>
      </c>
      <c r="I145" s="47" t="n">
        <f aca="false">0.12*H145</f>
        <v>113.76</v>
      </c>
      <c r="J145" s="47" t="n">
        <v>0</v>
      </c>
      <c r="K145" s="47" t="n">
        <f aca="false">H145+I145+J145</f>
        <v>1061.76</v>
      </c>
      <c r="L145" s="17" t="s">
        <v>697</v>
      </c>
    </row>
    <row r="146" customFormat="false" ht="15" hidden="false" customHeight="false" outlineLevel="0" collapsed="false">
      <c r="A146" s="46" t="n">
        <v>45495</v>
      </c>
      <c r="B146" s="4" t="s">
        <v>95</v>
      </c>
      <c r="C146" s="29" t="s">
        <v>716</v>
      </c>
      <c r="D146" s="51" t="n">
        <v>2</v>
      </c>
      <c r="E146" s="71" t="s">
        <v>681</v>
      </c>
      <c r="F146" s="46" t="n">
        <v>45495</v>
      </c>
      <c r="G146" s="47" t="n">
        <v>245</v>
      </c>
      <c r="H146" s="47" t="n">
        <f aca="false">G146*D146</f>
        <v>490</v>
      </c>
      <c r="I146" s="47" t="n">
        <f aca="false">0.12*H146</f>
        <v>58.8</v>
      </c>
      <c r="J146" s="47" t="n">
        <v>0</v>
      </c>
      <c r="K146" s="47" t="n">
        <f aca="false">H146+I146+J146</f>
        <v>548.8</v>
      </c>
      <c r="L146" s="17" t="s">
        <v>697</v>
      </c>
    </row>
    <row r="147" customFormat="false" ht="15" hidden="false" customHeight="false" outlineLevel="0" collapsed="false">
      <c r="A147" s="46" t="n">
        <v>45495</v>
      </c>
      <c r="B147" s="4" t="s">
        <v>95</v>
      </c>
      <c r="C147" s="29" t="s">
        <v>717</v>
      </c>
      <c r="D147" s="51" t="n">
        <v>2</v>
      </c>
      <c r="E147" s="71" t="s">
        <v>681</v>
      </c>
      <c r="F147" s="46" t="n">
        <v>45495</v>
      </c>
      <c r="G147" s="47" t="n">
        <v>287</v>
      </c>
      <c r="H147" s="47" t="n">
        <f aca="false">G147*D147</f>
        <v>574</v>
      </c>
      <c r="I147" s="47" t="n">
        <f aca="false">0.12*H147</f>
        <v>68.88</v>
      </c>
      <c r="J147" s="47" t="n">
        <v>0</v>
      </c>
      <c r="K147" s="47" t="n">
        <f aca="false">H147+I147+J147</f>
        <v>642.88</v>
      </c>
      <c r="L147" s="17" t="s">
        <v>697</v>
      </c>
    </row>
    <row r="148" customFormat="false" ht="15" hidden="false" customHeight="false" outlineLevel="0" collapsed="false">
      <c r="A148" s="46" t="n">
        <v>45496</v>
      </c>
      <c r="B148" s="4" t="s">
        <v>95</v>
      </c>
      <c r="C148" s="29" t="s">
        <v>717</v>
      </c>
      <c r="D148" s="51" t="n">
        <v>2</v>
      </c>
      <c r="E148" s="71" t="s">
        <v>681</v>
      </c>
      <c r="F148" s="46" t="n">
        <v>45496</v>
      </c>
      <c r="G148" s="47" t="n">
        <v>529</v>
      </c>
      <c r="H148" s="47" t="n">
        <f aca="false">G148*D148</f>
        <v>1058</v>
      </c>
      <c r="I148" s="47" t="n">
        <f aca="false">0.12*H148</f>
        <v>126.96</v>
      </c>
      <c r="J148" s="47" t="n">
        <v>0</v>
      </c>
      <c r="K148" s="47" t="n">
        <f aca="false">H148+I148+J148</f>
        <v>1184.96</v>
      </c>
      <c r="L148" s="17" t="s">
        <v>719</v>
      </c>
    </row>
    <row r="149" customFormat="false" ht="15" hidden="false" customHeight="false" outlineLevel="0" collapsed="false">
      <c r="A149" s="46" t="n">
        <v>45496</v>
      </c>
      <c r="B149" s="4" t="s">
        <v>551</v>
      </c>
      <c r="C149" s="29" t="s">
        <v>720</v>
      </c>
      <c r="D149" s="51" t="n">
        <v>1</v>
      </c>
      <c r="E149" s="71" t="s">
        <v>762</v>
      </c>
      <c r="F149" s="46" t="n">
        <v>45496</v>
      </c>
      <c r="G149" s="47" t="n">
        <v>42855</v>
      </c>
      <c r="H149" s="47" t="n">
        <f aca="false">G149*D149</f>
        <v>42855</v>
      </c>
      <c r="I149" s="47" t="n">
        <f aca="false">0.05*H149</f>
        <v>2142.75</v>
      </c>
      <c r="J149" s="47" t="n">
        <v>0</v>
      </c>
      <c r="K149" s="47" t="n">
        <f aca="false">H149+I149+J149</f>
        <v>44997.75</v>
      </c>
      <c r="L149" s="17" t="s">
        <v>719</v>
      </c>
    </row>
    <row r="150" customFormat="false" ht="15" hidden="false" customHeight="false" outlineLevel="0" collapsed="false">
      <c r="A150" s="46" t="n">
        <v>45498</v>
      </c>
      <c r="B150" s="4" t="s">
        <v>460</v>
      </c>
      <c r="C150" s="29" t="s">
        <v>461</v>
      </c>
      <c r="D150" s="51" t="n">
        <v>2</v>
      </c>
      <c r="E150" s="51" t="s">
        <v>245</v>
      </c>
      <c r="F150" s="46" t="n">
        <v>45496</v>
      </c>
      <c r="G150" s="47" t="n">
        <v>3900</v>
      </c>
      <c r="H150" s="47" t="n">
        <f aca="false">G150*D150</f>
        <v>7800</v>
      </c>
      <c r="I150" s="47" t="n">
        <f aca="false">0.05*H150</f>
        <v>390</v>
      </c>
      <c r="J150" s="47" t="n">
        <v>0</v>
      </c>
      <c r="K150" s="47" t="n">
        <f aca="false">H150+I150+J150</f>
        <v>8190</v>
      </c>
      <c r="L150" s="17" t="s">
        <v>719</v>
      </c>
    </row>
    <row r="151" customFormat="false" ht="15" hidden="false" customHeight="false" outlineLevel="0" collapsed="false">
      <c r="A151" s="46" t="n">
        <v>45498</v>
      </c>
      <c r="B151" s="4" t="s">
        <v>462</v>
      </c>
      <c r="C151" s="29" t="s">
        <v>463</v>
      </c>
      <c r="D151" s="51" t="n">
        <v>2</v>
      </c>
      <c r="E151" s="51" t="s">
        <v>245</v>
      </c>
      <c r="F151" s="46" t="n">
        <v>45496</v>
      </c>
      <c r="G151" s="47" t="n">
        <v>500</v>
      </c>
      <c r="H151" s="47" t="n">
        <f aca="false">G151*D151</f>
        <v>1000</v>
      </c>
      <c r="I151" s="47" t="n">
        <f aca="false">0.05*H151</f>
        <v>50</v>
      </c>
      <c r="J151" s="47" t="n">
        <v>0</v>
      </c>
      <c r="K151" s="47" t="n">
        <f aca="false">H151+I151+J151</f>
        <v>1050</v>
      </c>
      <c r="L151" s="17" t="s">
        <v>719</v>
      </c>
    </row>
    <row r="152" customFormat="false" ht="15" hidden="false" customHeight="false" outlineLevel="0" collapsed="false">
      <c r="A152" s="46" t="n">
        <v>45498</v>
      </c>
      <c r="B152" s="4" t="s">
        <v>443</v>
      </c>
      <c r="C152" s="29" t="s">
        <v>444</v>
      </c>
      <c r="D152" s="51" t="n">
        <v>2</v>
      </c>
      <c r="E152" s="51" t="s">
        <v>245</v>
      </c>
      <c r="F152" s="46" t="n">
        <v>45496</v>
      </c>
      <c r="G152" s="47" t="n">
        <v>4420</v>
      </c>
      <c r="H152" s="47" t="n">
        <f aca="false">G152*D152</f>
        <v>8840</v>
      </c>
      <c r="I152" s="47" t="n">
        <f aca="false">0.05*H152</f>
        <v>442</v>
      </c>
      <c r="J152" s="47" t="n">
        <v>0</v>
      </c>
      <c r="K152" s="47" t="n">
        <f aca="false">H152+I152+J152</f>
        <v>9282</v>
      </c>
      <c r="L152" s="17" t="s">
        <v>719</v>
      </c>
    </row>
    <row r="153" customFormat="false" ht="15" hidden="false" customHeight="false" outlineLevel="0" collapsed="false">
      <c r="A153" s="46" t="n">
        <v>45498</v>
      </c>
      <c r="B153" s="4" t="s">
        <v>551</v>
      </c>
      <c r="C153" s="29" t="s">
        <v>552</v>
      </c>
      <c r="D153" s="51" t="n">
        <v>1</v>
      </c>
      <c r="E153" s="51" t="s">
        <v>70</v>
      </c>
      <c r="F153" s="46" t="n">
        <v>45497</v>
      </c>
      <c r="G153" s="47" t="n">
        <v>6822.03</v>
      </c>
      <c r="H153" s="47" t="n">
        <f aca="false">G153*D153</f>
        <v>6822.03</v>
      </c>
      <c r="I153" s="47" t="n">
        <f aca="false">0.18*H153</f>
        <v>1227.9654</v>
      </c>
      <c r="J153" s="47" t="n">
        <f aca="false">200/3</f>
        <v>66.6666666666667</v>
      </c>
      <c r="K153" s="47" t="n">
        <f aca="false">J153+I153+H153</f>
        <v>8116.66206666667</v>
      </c>
      <c r="L153" s="17" t="s">
        <v>721</v>
      </c>
    </row>
    <row r="154" customFormat="false" ht="15" hidden="false" customHeight="false" outlineLevel="0" collapsed="false">
      <c r="A154" s="46" t="n">
        <v>45498</v>
      </c>
      <c r="B154" s="4" t="s">
        <v>723</v>
      </c>
      <c r="C154" s="29" t="s">
        <v>553</v>
      </c>
      <c r="D154" s="51" t="n">
        <v>1</v>
      </c>
      <c r="E154" s="51" t="s">
        <v>70</v>
      </c>
      <c r="F154" s="46" t="n">
        <v>45497</v>
      </c>
      <c r="G154" s="47" t="n">
        <v>2377.12</v>
      </c>
      <c r="H154" s="47" t="n">
        <f aca="false">G154*D154</f>
        <v>2377.12</v>
      </c>
      <c r="I154" s="47" t="n">
        <f aca="false">0.18*H154</f>
        <v>427.8816</v>
      </c>
      <c r="J154" s="47" t="n">
        <f aca="false">200/3</f>
        <v>66.6666666666667</v>
      </c>
      <c r="K154" s="47" t="n">
        <f aca="false">H154+I154+J154</f>
        <v>2871.66826666667</v>
      </c>
      <c r="L154" s="17" t="s">
        <v>721</v>
      </c>
    </row>
    <row r="155" customFormat="false" ht="15" hidden="false" customHeight="false" outlineLevel="0" collapsed="false">
      <c r="A155" s="46" t="n">
        <v>45498</v>
      </c>
      <c r="B155" s="4" t="s">
        <v>723</v>
      </c>
      <c r="C155" s="29" t="s">
        <v>555</v>
      </c>
      <c r="D155" s="51" t="n">
        <v>1</v>
      </c>
      <c r="E155" s="51" t="s">
        <v>70</v>
      </c>
      <c r="F155" s="46" t="n">
        <v>45497</v>
      </c>
      <c r="G155" s="47" t="n">
        <v>7500</v>
      </c>
      <c r="H155" s="47" t="n">
        <f aca="false">G155*D155</f>
        <v>7500</v>
      </c>
      <c r="I155" s="47" t="n">
        <f aca="false">0.18*H155</f>
        <v>1350</v>
      </c>
      <c r="J155" s="47" t="n">
        <f aca="false">200/3</f>
        <v>66.6666666666667</v>
      </c>
      <c r="K155" s="47" t="n">
        <f aca="false">H155+I155+J155</f>
        <v>8916.66666666667</v>
      </c>
      <c r="L155" s="17" t="s">
        <v>608</v>
      </c>
    </row>
    <row r="156" customFormat="false" ht="15" hidden="false" customHeight="false" outlineLevel="0" collapsed="false">
      <c r="A156" s="46" t="n">
        <v>45499</v>
      </c>
      <c r="B156" s="4" t="s">
        <v>31</v>
      </c>
      <c r="C156" s="19" t="s">
        <v>688</v>
      </c>
      <c r="D156" s="51" t="n">
        <v>2</v>
      </c>
      <c r="E156" s="51" t="s">
        <v>23</v>
      </c>
      <c r="F156" s="46" t="n">
        <v>45477</v>
      </c>
      <c r="G156" s="47" t="n">
        <v>17500</v>
      </c>
      <c r="H156" s="47" t="n">
        <f aca="false">G156*D156</f>
        <v>35000</v>
      </c>
      <c r="I156" s="47" t="n">
        <f aca="false">0.18*H156</f>
        <v>6300</v>
      </c>
      <c r="J156" s="47" t="n">
        <v>0</v>
      </c>
      <c r="K156" s="47" t="n">
        <f aca="false">J156+I156+H156</f>
        <v>41300</v>
      </c>
      <c r="L156" s="17" t="s">
        <v>687</v>
      </c>
    </row>
    <row r="157" customFormat="false" ht="15" hidden="false" customHeight="false" outlineLevel="0" collapsed="false">
      <c r="A157" s="46" t="n">
        <v>45499</v>
      </c>
      <c r="B157" s="4" t="s">
        <v>50</v>
      </c>
      <c r="C157" s="10" t="s">
        <v>51</v>
      </c>
      <c r="D157" s="51" t="n">
        <v>2</v>
      </c>
      <c r="E157" s="51" t="s">
        <v>671</v>
      </c>
      <c r="F157" s="46" t="n">
        <v>45499</v>
      </c>
      <c r="G157" s="47" t="n">
        <v>11836</v>
      </c>
      <c r="H157" s="47" t="n">
        <f aca="false">G157*D157</f>
        <v>23672</v>
      </c>
      <c r="I157" s="47" t="n">
        <f aca="false">0.18*H157</f>
        <v>4260.96</v>
      </c>
      <c r="J157" s="47" t="n">
        <v>0</v>
      </c>
      <c r="K157" s="47" t="n">
        <f aca="false">J157+I157+H157</f>
        <v>27932.96</v>
      </c>
      <c r="L157" s="17" t="s">
        <v>719</v>
      </c>
    </row>
    <row r="158" customFormat="false" ht="15" hidden="false" customHeight="false" outlineLevel="0" collapsed="false">
      <c r="A158" s="46" t="n">
        <v>45499</v>
      </c>
      <c r="B158" s="4" t="s">
        <v>558</v>
      </c>
      <c r="C158" s="29" t="s">
        <v>559</v>
      </c>
      <c r="D158" s="51" t="n">
        <v>2</v>
      </c>
      <c r="E158" s="51" t="s">
        <v>780</v>
      </c>
      <c r="F158" s="46" t="n">
        <v>45499</v>
      </c>
      <c r="G158" s="47" t="n">
        <v>1525.42</v>
      </c>
      <c r="H158" s="47" t="n">
        <f aca="false">G158*D158</f>
        <v>3050.84</v>
      </c>
      <c r="I158" s="47" t="n">
        <f aca="false">0.18*H158</f>
        <v>549.1512</v>
      </c>
      <c r="J158" s="47" t="n">
        <v>0</v>
      </c>
      <c r="K158" s="47" t="n">
        <f aca="false">J158+I158+H158</f>
        <v>3599.9912</v>
      </c>
      <c r="L158" s="17" t="s">
        <v>721</v>
      </c>
    </row>
    <row r="159" customFormat="false" ht="15" hidden="false" customHeight="false" outlineLevel="0" collapsed="false">
      <c r="A159" s="46" t="n">
        <v>45499</v>
      </c>
      <c r="B159" s="4" t="s">
        <v>556</v>
      </c>
      <c r="C159" s="29" t="s">
        <v>557</v>
      </c>
      <c r="D159" s="51" t="n">
        <v>1</v>
      </c>
      <c r="E159" s="51" t="s">
        <v>420</v>
      </c>
      <c r="F159" s="46" t="n">
        <v>45497</v>
      </c>
      <c r="G159" s="47" t="n">
        <v>5761.87</v>
      </c>
      <c r="H159" s="47" t="n">
        <f aca="false">G159*D159</f>
        <v>5761.87</v>
      </c>
      <c r="I159" s="47" t="n">
        <f aca="false">0.18*H159</f>
        <v>1037.1366</v>
      </c>
      <c r="J159" s="47" t="n">
        <v>0</v>
      </c>
      <c r="K159" s="47" t="n">
        <f aca="false">J159+I159+H159</f>
        <v>6799.0066</v>
      </c>
      <c r="L159" s="17" t="s">
        <v>608</v>
      </c>
    </row>
    <row r="160" customFormat="false" ht="15" hidden="false" customHeight="false" outlineLevel="0" collapsed="false">
      <c r="A160" s="46" t="n">
        <v>45502</v>
      </c>
      <c r="B160" s="4" t="s">
        <v>558</v>
      </c>
      <c r="C160" s="29" t="s">
        <v>726</v>
      </c>
      <c r="D160" s="51" t="n">
        <v>2</v>
      </c>
      <c r="E160" s="51" t="s">
        <v>780</v>
      </c>
      <c r="F160" s="46" t="n">
        <v>45499</v>
      </c>
      <c r="G160" s="47" t="n">
        <v>6356</v>
      </c>
      <c r="H160" s="47" t="n">
        <f aca="false">G160*D160</f>
        <v>12712</v>
      </c>
      <c r="I160" s="47" t="n">
        <f aca="false">0.18*H160</f>
        <v>2288.16</v>
      </c>
      <c r="J160" s="47" t="n">
        <v>0</v>
      </c>
      <c r="K160" s="47" t="n">
        <f aca="false">J160+I160+H160</f>
        <v>15000.16</v>
      </c>
      <c r="L160" s="17" t="s">
        <v>721</v>
      </c>
    </row>
    <row r="161" customFormat="false" ht="15" hidden="false" customHeight="false" outlineLevel="0" collapsed="false">
      <c r="A161" s="46" t="n">
        <v>45506</v>
      </c>
      <c r="B161" s="4" t="s">
        <v>570</v>
      </c>
      <c r="C161" s="29" t="s">
        <v>571</v>
      </c>
      <c r="D161" s="51" t="n">
        <v>4</v>
      </c>
      <c r="E161" s="51" t="s">
        <v>154</v>
      </c>
      <c r="F161" s="46" t="n">
        <v>45506</v>
      </c>
      <c r="G161" s="47" t="n">
        <v>54000</v>
      </c>
      <c r="H161" s="47" t="n">
        <f aca="false">G161*D161</f>
        <v>216000</v>
      </c>
      <c r="I161" s="47" t="n">
        <f aca="false">0.18*H161</f>
        <v>38880</v>
      </c>
      <c r="J161" s="47" t="n">
        <v>0</v>
      </c>
      <c r="K161" s="47" t="n">
        <f aca="false">J161+I161+H161</f>
        <v>254880</v>
      </c>
      <c r="L161" s="17" t="s">
        <v>719</v>
      </c>
    </row>
    <row r="162" customFormat="false" ht="15" hidden="false" customHeight="false" outlineLevel="0" collapsed="false">
      <c r="A162" s="46" t="n">
        <v>45509</v>
      </c>
      <c r="B162" s="4" t="s">
        <v>548</v>
      </c>
      <c r="C162" s="29" t="s">
        <v>781</v>
      </c>
      <c r="D162" s="51" t="n">
        <v>2</v>
      </c>
      <c r="E162" s="51" t="s">
        <v>540</v>
      </c>
      <c r="F162" s="46" t="n">
        <v>45503</v>
      </c>
      <c r="G162" s="47" t="n">
        <v>74000</v>
      </c>
      <c r="H162" s="47" t="n">
        <f aca="false">G162*D162</f>
        <v>148000</v>
      </c>
      <c r="I162" s="47" t="n">
        <f aca="false">0.18*H162</f>
        <v>26640</v>
      </c>
      <c r="J162" s="47" t="n">
        <v>0</v>
      </c>
      <c r="K162" s="47" t="n">
        <f aca="false">J162+I162+H162</f>
        <v>174640</v>
      </c>
      <c r="L162" s="17" t="s">
        <v>719</v>
      </c>
    </row>
    <row r="163" customFormat="false" ht="15" hidden="false" customHeight="false" outlineLevel="0" collapsed="false">
      <c r="A163" s="46" t="n">
        <v>45509</v>
      </c>
      <c r="B163" s="4" t="s">
        <v>95</v>
      </c>
      <c r="C163" s="29" t="s">
        <v>782</v>
      </c>
      <c r="D163" s="51" t="n">
        <v>1</v>
      </c>
      <c r="E163" s="51" t="s">
        <v>681</v>
      </c>
      <c r="F163" s="46" t="n">
        <v>45509</v>
      </c>
      <c r="G163" s="47" t="n">
        <v>643</v>
      </c>
      <c r="H163" s="47" t="n">
        <f aca="false">G163*D163</f>
        <v>643</v>
      </c>
      <c r="I163" s="47" t="n">
        <f aca="false">0.12*H163</f>
        <v>77.16</v>
      </c>
      <c r="J163" s="47" t="n">
        <v>0</v>
      </c>
      <c r="K163" s="47" t="n">
        <f aca="false">J163+I163+H163</f>
        <v>720.16</v>
      </c>
      <c r="L163" s="17" t="s">
        <v>719</v>
      </c>
    </row>
    <row r="164" customFormat="false" ht="15" hidden="false" customHeight="false" outlineLevel="0" collapsed="false">
      <c r="A164" s="46" t="n">
        <v>45509</v>
      </c>
      <c r="B164" s="4" t="s">
        <v>95</v>
      </c>
      <c r="C164" s="29" t="s">
        <v>783</v>
      </c>
      <c r="D164" s="51" t="n">
        <v>1</v>
      </c>
      <c r="E164" s="51" t="s">
        <v>681</v>
      </c>
      <c r="F164" s="46" t="n">
        <v>45509</v>
      </c>
      <c r="G164" s="47" t="n">
        <v>870</v>
      </c>
      <c r="H164" s="47" t="n">
        <f aca="false">G164*D164</f>
        <v>870</v>
      </c>
      <c r="I164" s="47" t="n">
        <f aca="false">0.12*H164</f>
        <v>104.4</v>
      </c>
      <c r="J164" s="47" t="n">
        <v>0</v>
      </c>
      <c r="K164" s="47" t="n">
        <f aca="false">J164+I164+H164</f>
        <v>974.4</v>
      </c>
      <c r="L164" s="17" t="s">
        <v>719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0.18"/>
    <col collapsed="false" customWidth="true" hidden="false" outlineLevel="0" max="2" min="2" style="1" width="17.82"/>
    <col collapsed="false" customWidth="true" hidden="false" outlineLevel="0" max="3" min="3" style="1" width="6.54"/>
    <col collapsed="false" customWidth="true" hidden="false" outlineLevel="0" max="4" min="4" style="1" width="13.73"/>
    <col collapsed="false" customWidth="true" hidden="false" outlineLevel="0" max="5" min="5" style="1" width="8.82"/>
    <col collapsed="false" customWidth="true" hidden="false" outlineLevel="0" max="6" min="6" style="1" width="8"/>
  </cols>
  <sheetData>
    <row r="1" customFormat="false" ht="15" hidden="false" customHeight="false" outlineLevel="0" collapsed="false">
      <c r="A1" s="2" t="s">
        <v>593</v>
      </c>
      <c r="B1" s="2" t="s">
        <v>1</v>
      </c>
      <c r="C1" s="2" t="s">
        <v>784</v>
      </c>
      <c r="D1" s="2" t="s">
        <v>785</v>
      </c>
      <c r="E1" s="2" t="s">
        <v>786</v>
      </c>
      <c r="F1" s="2" t="s">
        <v>603</v>
      </c>
    </row>
    <row r="2" customFormat="false" ht="15" hidden="false" customHeight="false" outlineLevel="0" collapsed="false">
      <c r="A2" s="25"/>
      <c r="B2" s="4" t="s">
        <v>20</v>
      </c>
      <c r="C2" s="25"/>
      <c r="D2" s="25"/>
      <c r="E2" s="25"/>
      <c r="F2" s="25"/>
    </row>
    <row r="3" customFormat="false" ht="15" hidden="false" customHeight="false" outlineLevel="0" collapsed="false">
      <c r="A3" s="25"/>
      <c r="B3" s="4" t="s">
        <v>26</v>
      </c>
      <c r="C3" s="25"/>
      <c r="D3" s="25"/>
      <c r="E3" s="25"/>
      <c r="F3" s="25"/>
    </row>
    <row r="4" customFormat="false" ht="15" hidden="false" customHeight="false" outlineLevel="0" collapsed="false">
      <c r="A4" s="25"/>
      <c r="B4" s="4" t="s">
        <v>29</v>
      </c>
      <c r="C4" s="25"/>
      <c r="D4" s="25"/>
      <c r="E4" s="25"/>
      <c r="F4" s="25"/>
    </row>
    <row r="5" customFormat="false" ht="15" hidden="false" customHeight="false" outlineLevel="0" collapsed="false">
      <c r="A5" s="25"/>
      <c r="B5" s="4" t="s">
        <v>31</v>
      </c>
      <c r="C5" s="25"/>
      <c r="D5" s="25"/>
      <c r="E5" s="25"/>
      <c r="F5" s="25"/>
    </row>
    <row r="6" customFormat="false" ht="15" hidden="false" customHeight="false" outlineLevel="0" collapsed="false">
      <c r="A6" s="25"/>
      <c r="B6" s="4" t="s">
        <v>33</v>
      </c>
      <c r="C6" s="25"/>
      <c r="D6" s="25"/>
      <c r="E6" s="25"/>
      <c r="F6" s="25"/>
    </row>
    <row r="7" customFormat="false" ht="15" hidden="false" customHeight="false" outlineLevel="0" collapsed="false">
      <c r="A7" s="25"/>
      <c r="B7" s="4" t="s">
        <v>35</v>
      </c>
      <c r="C7" s="25"/>
      <c r="D7" s="25"/>
      <c r="E7" s="25"/>
      <c r="F7" s="25"/>
    </row>
    <row r="8" customFormat="false" ht="15" hidden="false" customHeight="false" outlineLevel="0" collapsed="false">
      <c r="A8" s="25"/>
      <c r="B8" s="4" t="s">
        <v>40</v>
      </c>
      <c r="C8" s="25"/>
      <c r="D8" s="25"/>
      <c r="E8" s="25"/>
      <c r="F8" s="25"/>
    </row>
    <row r="9" customFormat="false" ht="15" hidden="false" customHeight="false" outlineLevel="0" collapsed="false">
      <c r="A9" s="25"/>
      <c r="B9" s="4" t="s">
        <v>42</v>
      </c>
      <c r="C9" s="25"/>
      <c r="D9" s="25"/>
      <c r="E9" s="25"/>
      <c r="F9" s="25"/>
    </row>
    <row r="10" customFormat="false" ht="15" hidden="false" customHeight="false" outlineLevel="0" collapsed="false">
      <c r="A10" s="25"/>
      <c r="B10" s="4" t="s">
        <v>44</v>
      </c>
      <c r="C10" s="25"/>
      <c r="D10" s="25"/>
      <c r="E10" s="25"/>
      <c r="F10" s="25"/>
    </row>
    <row r="11" customFormat="false" ht="15" hidden="false" customHeight="false" outlineLevel="0" collapsed="false">
      <c r="A11" s="25"/>
      <c r="B11" s="4" t="s">
        <v>46</v>
      </c>
      <c r="C11" s="25"/>
      <c r="D11" s="25"/>
      <c r="E11" s="25"/>
      <c r="F11" s="25"/>
    </row>
    <row r="12" customFormat="false" ht="15" hidden="false" customHeight="false" outlineLevel="0" collapsed="false">
      <c r="A12" s="25"/>
      <c r="B12" s="4" t="s">
        <v>48</v>
      </c>
      <c r="C12" s="25"/>
      <c r="D12" s="25"/>
      <c r="E12" s="25"/>
      <c r="F12" s="25"/>
    </row>
    <row r="13" customFormat="false" ht="15" hidden="false" customHeight="false" outlineLevel="0" collapsed="false">
      <c r="A13" s="25"/>
      <c r="B13" s="4" t="s">
        <v>50</v>
      </c>
      <c r="C13" s="25"/>
      <c r="D13" s="25"/>
      <c r="E13" s="25"/>
      <c r="F13" s="25"/>
    </row>
    <row r="14" customFormat="false" ht="15" hidden="false" customHeight="false" outlineLevel="0" collapsed="false">
      <c r="A14" s="25"/>
      <c r="B14" s="4" t="s">
        <v>52</v>
      </c>
      <c r="C14" s="25"/>
      <c r="D14" s="25"/>
      <c r="E14" s="25"/>
      <c r="F14" s="25"/>
    </row>
    <row r="15" customFormat="false" ht="15" hidden="false" customHeight="false" outlineLevel="0" collapsed="false">
      <c r="A15" s="25"/>
      <c r="B15" s="4" t="s">
        <v>55</v>
      </c>
      <c r="C15" s="25"/>
      <c r="D15" s="25"/>
      <c r="E15" s="25"/>
      <c r="F15" s="25"/>
    </row>
    <row r="16" customFormat="false" ht="15" hidden="false" customHeight="false" outlineLevel="0" collapsed="false">
      <c r="A16" s="25"/>
      <c r="B16" s="4" t="s">
        <v>58</v>
      </c>
      <c r="C16" s="25"/>
      <c r="D16" s="25"/>
      <c r="E16" s="25"/>
      <c r="F16" s="25"/>
    </row>
    <row r="17" customFormat="false" ht="15" hidden="false" customHeight="false" outlineLevel="0" collapsed="false">
      <c r="A17" s="25"/>
      <c r="B17" s="4" t="s">
        <v>61</v>
      </c>
      <c r="C17" s="25"/>
      <c r="D17" s="25"/>
      <c r="E17" s="25"/>
      <c r="F17" s="25"/>
    </row>
    <row r="18" customFormat="false" ht="15" hidden="false" customHeight="false" outlineLevel="0" collapsed="false">
      <c r="A18" s="25"/>
      <c r="B18" s="4" t="s">
        <v>68</v>
      </c>
      <c r="C18" s="25"/>
      <c r="D18" s="25"/>
      <c r="E18" s="25"/>
      <c r="F18" s="25"/>
    </row>
    <row r="19" customFormat="false" ht="15" hidden="false" customHeight="false" outlineLevel="0" collapsed="false">
      <c r="A19" s="25"/>
      <c r="B19" s="4" t="s">
        <v>71</v>
      </c>
      <c r="C19" s="25"/>
      <c r="D19" s="25"/>
      <c r="E19" s="25"/>
      <c r="F19" s="25"/>
    </row>
    <row r="20" customFormat="false" ht="15" hidden="false" customHeight="false" outlineLevel="0" collapsed="false">
      <c r="A20" s="25"/>
      <c r="B20" s="4" t="s">
        <v>73</v>
      </c>
      <c r="C20" s="25"/>
      <c r="D20" s="25"/>
      <c r="E20" s="25"/>
      <c r="F20" s="25"/>
    </row>
    <row r="21" customFormat="false" ht="15" hidden="false" customHeight="false" outlineLevel="0" collapsed="false">
      <c r="A21" s="25"/>
      <c r="B21" s="4" t="s">
        <v>75</v>
      </c>
      <c r="C21" s="25"/>
      <c r="D21" s="25"/>
      <c r="E21" s="25"/>
      <c r="F21" s="25"/>
    </row>
    <row r="22" customFormat="false" ht="15" hidden="false" customHeight="false" outlineLevel="0" collapsed="false">
      <c r="A22" s="25"/>
      <c r="B22" s="4" t="s">
        <v>78</v>
      </c>
      <c r="C22" s="25"/>
      <c r="D22" s="25"/>
      <c r="E22" s="25"/>
      <c r="F22" s="25"/>
    </row>
    <row r="23" customFormat="false" ht="15" hidden="false" customHeight="false" outlineLevel="0" collapsed="false">
      <c r="A23" s="25"/>
      <c r="B23" s="4" t="s">
        <v>82</v>
      </c>
      <c r="C23" s="25"/>
      <c r="D23" s="25"/>
      <c r="E23" s="25"/>
      <c r="F23" s="25"/>
    </row>
    <row r="24" customFormat="false" ht="15" hidden="false" customHeight="false" outlineLevel="0" collapsed="false">
      <c r="A24" s="25"/>
      <c r="B24" s="4" t="s">
        <v>85</v>
      </c>
      <c r="C24" s="25"/>
      <c r="D24" s="25"/>
      <c r="E24" s="25"/>
      <c r="F24" s="25"/>
    </row>
    <row r="25" customFormat="false" ht="15" hidden="false" customHeight="false" outlineLevel="0" collapsed="false">
      <c r="A25" s="25"/>
      <c r="B25" s="4" t="s">
        <v>87</v>
      </c>
      <c r="C25" s="25"/>
      <c r="D25" s="25"/>
      <c r="E25" s="25"/>
      <c r="F25" s="25"/>
    </row>
    <row r="26" customFormat="false" ht="15" hidden="false" customHeight="false" outlineLevel="0" collapsed="false">
      <c r="A26" s="25"/>
      <c r="B26" s="4" t="s">
        <v>90</v>
      </c>
      <c r="C26" s="25"/>
      <c r="D26" s="25"/>
      <c r="E26" s="25"/>
      <c r="F26" s="25"/>
    </row>
    <row r="27" customFormat="false" ht="15" hidden="false" customHeight="false" outlineLevel="0" collapsed="false">
      <c r="A27" s="25"/>
      <c r="B27" s="4" t="s">
        <v>92</v>
      </c>
      <c r="C27" s="25"/>
      <c r="D27" s="25"/>
      <c r="E27" s="25"/>
      <c r="F27" s="25"/>
    </row>
    <row r="28" customFormat="false" ht="15" hidden="false" customHeight="false" outlineLevel="0" collapsed="false">
      <c r="A28" s="25"/>
      <c r="B28" s="4" t="s">
        <v>95</v>
      </c>
      <c r="C28" s="25"/>
      <c r="D28" s="25"/>
      <c r="E28" s="25"/>
      <c r="F28" s="25"/>
    </row>
    <row r="29" customFormat="false" ht="15" hidden="false" customHeight="false" outlineLevel="0" collapsed="false">
      <c r="A29" s="25"/>
      <c r="B29" s="4" t="s">
        <v>99</v>
      </c>
      <c r="C29" s="25"/>
      <c r="D29" s="25"/>
      <c r="E29" s="25"/>
      <c r="F29" s="25"/>
    </row>
    <row r="30" customFormat="false" ht="15" hidden="false" customHeight="false" outlineLevel="0" collapsed="false">
      <c r="A30" s="25"/>
      <c r="B30" s="4" t="s">
        <v>103</v>
      </c>
      <c r="C30" s="25"/>
      <c r="D30" s="25"/>
      <c r="E30" s="25"/>
      <c r="F30" s="25"/>
    </row>
    <row r="31" customFormat="false" ht="15" hidden="false" customHeight="false" outlineLevel="0" collapsed="false">
      <c r="A31" s="25"/>
      <c r="B31" s="4" t="s">
        <v>105</v>
      </c>
      <c r="C31" s="25"/>
      <c r="D31" s="25"/>
      <c r="E31" s="25"/>
      <c r="F31" s="25"/>
    </row>
    <row r="32" customFormat="false" ht="15" hidden="false" customHeight="false" outlineLevel="0" collapsed="false">
      <c r="A32" s="25"/>
      <c r="B32" s="4" t="s">
        <v>109</v>
      </c>
      <c r="C32" s="25"/>
      <c r="D32" s="25"/>
      <c r="E32" s="25"/>
      <c r="F32" s="25"/>
    </row>
    <row r="33" customFormat="false" ht="15" hidden="false" customHeight="false" outlineLevel="0" collapsed="false">
      <c r="A33" s="25"/>
      <c r="B33" s="4" t="s">
        <v>111</v>
      </c>
      <c r="C33" s="25"/>
      <c r="D33" s="25"/>
      <c r="E33" s="25"/>
      <c r="F33" s="25"/>
    </row>
    <row r="34" customFormat="false" ht="15" hidden="false" customHeight="false" outlineLevel="0" collapsed="false">
      <c r="A34" s="25"/>
      <c r="B34" s="4" t="s">
        <v>113</v>
      </c>
      <c r="C34" s="25"/>
      <c r="D34" s="25"/>
      <c r="E34" s="25"/>
      <c r="F34" s="25"/>
    </row>
    <row r="35" customFormat="false" ht="15" hidden="false" customHeight="false" outlineLevel="0" collapsed="false">
      <c r="A35" s="25"/>
      <c r="B35" s="4" t="s">
        <v>115</v>
      </c>
      <c r="C35" s="25"/>
      <c r="D35" s="25"/>
      <c r="E35" s="25"/>
      <c r="F35" s="25"/>
    </row>
    <row r="36" customFormat="false" ht="15" hidden="false" customHeight="false" outlineLevel="0" collapsed="false">
      <c r="A36" s="25"/>
      <c r="B36" s="4" t="s">
        <v>118</v>
      </c>
      <c r="C36" s="25"/>
      <c r="D36" s="25"/>
      <c r="E36" s="25"/>
      <c r="F36" s="25"/>
    </row>
    <row r="37" customFormat="false" ht="15" hidden="false" customHeight="false" outlineLevel="0" collapsed="false">
      <c r="A37" s="25"/>
      <c r="B37" s="4" t="s">
        <v>120</v>
      </c>
      <c r="C37" s="25"/>
      <c r="D37" s="25"/>
      <c r="E37" s="25"/>
      <c r="F37" s="25"/>
    </row>
    <row r="38" customFormat="false" ht="15" hidden="false" customHeight="false" outlineLevel="0" collapsed="false">
      <c r="A38" s="25"/>
      <c r="B38" s="4" t="s">
        <v>122</v>
      </c>
      <c r="C38" s="25"/>
      <c r="D38" s="25"/>
      <c r="E38" s="25"/>
      <c r="F38" s="25"/>
    </row>
    <row r="39" customFormat="false" ht="15" hidden="false" customHeight="false" outlineLevel="0" collapsed="false">
      <c r="A39" s="25"/>
      <c r="B39" s="4" t="s">
        <v>124</v>
      </c>
      <c r="C39" s="25"/>
      <c r="D39" s="25"/>
      <c r="E39" s="25"/>
      <c r="F39" s="25"/>
    </row>
    <row r="40" customFormat="false" ht="15" hidden="false" customHeight="false" outlineLevel="0" collapsed="false">
      <c r="A40" s="25"/>
      <c r="B40" s="4" t="s">
        <v>128</v>
      </c>
      <c r="C40" s="25"/>
      <c r="D40" s="25"/>
      <c r="E40" s="25"/>
      <c r="F40" s="25"/>
    </row>
    <row r="41" customFormat="false" ht="15" hidden="false" customHeight="false" outlineLevel="0" collapsed="false">
      <c r="A41" s="25"/>
      <c r="B41" s="4" t="s">
        <v>130</v>
      </c>
      <c r="C41" s="25"/>
      <c r="D41" s="25"/>
      <c r="E41" s="25"/>
      <c r="F41" s="25"/>
    </row>
    <row r="42" customFormat="false" ht="15" hidden="false" customHeight="false" outlineLevel="0" collapsed="false">
      <c r="A42" s="25"/>
      <c r="B42" s="4" t="s">
        <v>133</v>
      </c>
      <c r="C42" s="25"/>
      <c r="D42" s="25"/>
      <c r="E42" s="25"/>
      <c r="F42" s="25"/>
    </row>
    <row r="43" customFormat="false" ht="15" hidden="false" customHeight="false" outlineLevel="0" collapsed="false">
      <c r="A43" s="25"/>
      <c r="B43" s="4" t="s">
        <v>136</v>
      </c>
      <c r="C43" s="25"/>
      <c r="D43" s="25"/>
      <c r="E43" s="25"/>
      <c r="F43" s="25"/>
    </row>
    <row r="44" customFormat="false" ht="15" hidden="false" customHeight="false" outlineLevel="0" collapsed="false">
      <c r="A44" s="25"/>
      <c r="B44" s="4" t="s">
        <v>140</v>
      </c>
      <c r="C44" s="25"/>
      <c r="D44" s="25"/>
      <c r="E44" s="25"/>
      <c r="F44" s="25"/>
    </row>
    <row r="45" customFormat="false" ht="15" hidden="false" customHeight="false" outlineLevel="0" collapsed="false">
      <c r="A45" s="25"/>
      <c r="B45" s="4" t="s">
        <v>142</v>
      </c>
      <c r="C45" s="25"/>
      <c r="D45" s="25"/>
      <c r="E45" s="25"/>
      <c r="F45" s="25"/>
    </row>
    <row r="46" customFormat="false" ht="15" hidden="false" customHeight="false" outlineLevel="0" collapsed="false">
      <c r="A46" s="25"/>
      <c r="B46" s="4" t="s">
        <v>145</v>
      </c>
      <c r="C46" s="25"/>
      <c r="D46" s="25"/>
      <c r="E46" s="25"/>
      <c r="F46" s="25"/>
    </row>
    <row r="47" customFormat="false" ht="15" hidden="false" customHeight="false" outlineLevel="0" collapsed="false">
      <c r="A47" s="25"/>
      <c r="B47" s="4" t="s">
        <v>147</v>
      </c>
      <c r="C47" s="25"/>
      <c r="D47" s="25"/>
      <c r="E47" s="25"/>
      <c r="F47" s="25"/>
    </row>
    <row r="48" customFormat="false" ht="15" hidden="false" customHeight="false" outlineLevel="0" collapsed="false">
      <c r="A48" s="25"/>
      <c r="B48" s="4" t="s">
        <v>149</v>
      </c>
      <c r="C48" s="25"/>
      <c r="D48" s="25"/>
      <c r="E48" s="25"/>
      <c r="F48" s="25"/>
    </row>
    <row r="49" customFormat="false" ht="15" hidden="false" customHeight="false" outlineLevel="0" collapsed="false">
      <c r="A49" s="25"/>
      <c r="B49" s="4" t="s">
        <v>151</v>
      </c>
      <c r="C49" s="25"/>
      <c r="D49" s="25"/>
      <c r="E49" s="25"/>
      <c r="F49" s="25"/>
    </row>
    <row r="50" customFormat="false" ht="15" hidden="false" customHeight="false" outlineLevel="0" collapsed="false">
      <c r="A50" s="25"/>
      <c r="B50" s="4" t="s">
        <v>155</v>
      </c>
      <c r="C50" s="25"/>
      <c r="D50" s="25"/>
      <c r="E50" s="25"/>
      <c r="F50" s="25"/>
    </row>
    <row r="51" customFormat="false" ht="15" hidden="false" customHeight="false" outlineLevel="0" collapsed="false">
      <c r="A51" s="25"/>
      <c r="B51" s="4" t="s">
        <v>157</v>
      </c>
      <c r="C51" s="25"/>
      <c r="D51" s="25"/>
      <c r="E51" s="25"/>
      <c r="F51" s="25"/>
    </row>
    <row r="52" customFormat="false" ht="15" hidden="false" customHeight="false" outlineLevel="0" collapsed="false">
      <c r="A52" s="25"/>
      <c r="B52" s="4" t="s">
        <v>159</v>
      </c>
      <c r="C52" s="25"/>
      <c r="D52" s="25"/>
      <c r="E52" s="25"/>
      <c r="F52" s="25"/>
    </row>
    <row r="53" customFormat="false" ht="15" hidden="false" customHeight="false" outlineLevel="0" collapsed="false">
      <c r="A53" s="25"/>
      <c r="B53" s="4" t="s">
        <v>161</v>
      </c>
      <c r="C53" s="25"/>
      <c r="D53" s="25"/>
      <c r="E53" s="25"/>
      <c r="F53" s="25"/>
    </row>
    <row r="54" customFormat="false" ht="15" hidden="false" customHeight="false" outlineLevel="0" collapsed="false">
      <c r="A54" s="25"/>
      <c r="B54" s="4" t="s">
        <v>163</v>
      </c>
      <c r="C54" s="25"/>
      <c r="D54" s="25"/>
      <c r="E54" s="25"/>
      <c r="F54" s="25"/>
    </row>
    <row r="55" customFormat="false" ht="15" hidden="false" customHeight="false" outlineLevel="0" collapsed="false">
      <c r="A55" s="25"/>
      <c r="B55" s="4" t="s">
        <v>165</v>
      </c>
      <c r="C55" s="25"/>
      <c r="D55" s="25"/>
      <c r="E55" s="25"/>
      <c r="F55" s="25"/>
    </row>
    <row r="56" customFormat="false" ht="15" hidden="false" customHeight="false" outlineLevel="0" collapsed="false">
      <c r="A56" s="25"/>
      <c r="B56" s="4" t="s">
        <v>167</v>
      </c>
      <c r="C56" s="25"/>
      <c r="D56" s="25"/>
      <c r="E56" s="25"/>
      <c r="F56" s="25"/>
    </row>
    <row r="57" customFormat="false" ht="15" hidden="false" customHeight="false" outlineLevel="0" collapsed="false">
      <c r="A57" s="25"/>
      <c r="B57" s="4" t="s">
        <v>169</v>
      </c>
      <c r="C57" s="25"/>
      <c r="D57" s="25"/>
      <c r="E57" s="25"/>
      <c r="F57" s="25"/>
    </row>
    <row r="58" customFormat="false" ht="15" hidden="false" customHeight="false" outlineLevel="0" collapsed="false">
      <c r="A58" s="25"/>
      <c r="B58" s="4" t="s">
        <v>171</v>
      </c>
      <c r="C58" s="25"/>
      <c r="D58" s="25"/>
      <c r="E58" s="25"/>
      <c r="F58" s="25"/>
    </row>
    <row r="59" customFormat="false" ht="15" hidden="false" customHeight="false" outlineLevel="0" collapsed="false">
      <c r="A59" s="25"/>
      <c r="B59" s="4" t="s">
        <v>174</v>
      </c>
      <c r="C59" s="25"/>
      <c r="D59" s="25"/>
      <c r="E59" s="25"/>
      <c r="F59" s="25"/>
    </row>
    <row r="60" customFormat="false" ht="15" hidden="false" customHeight="false" outlineLevel="0" collapsed="false">
      <c r="A60" s="25"/>
      <c r="B60" s="4" t="s">
        <v>176</v>
      </c>
      <c r="C60" s="25"/>
      <c r="D60" s="25"/>
      <c r="E60" s="25"/>
      <c r="F60" s="25"/>
    </row>
    <row r="61" customFormat="false" ht="15" hidden="false" customHeight="false" outlineLevel="0" collapsed="false">
      <c r="A61" s="25"/>
      <c r="B61" s="4" t="s">
        <v>178</v>
      </c>
      <c r="C61" s="25"/>
      <c r="D61" s="25"/>
      <c r="E61" s="25"/>
      <c r="F61" s="25"/>
    </row>
    <row r="62" customFormat="false" ht="15" hidden="false" customHeight="false" outlineLevel="0" collapsed="false">
      <c r="A62" s="25"/>
      <c r="B62" s="4" t="s">
        <v>180</v>
      </c>
      <c r="C62" s="25"/>
      <c r="D62" s="25"/>
      <c r="E62" s="25"/>
      <c r="F62" s="25"/>
    </row>
    <row r="63" customFormat="false" ht="15" hidden="false" customHeight="false" outlineLevel="0" collapsed="false">
      <c r="A63" s="25"/>
      <c r="B63" s="4" t="s">
        <v>183</v>
      </c>
      <c r="C63" s="25"/>
      <c r="D63" s="25"/>
      <c r="E63" s="25"/>
      <c r="F63" s="25"/>
    </row>
    <row r="64" customFormat="false" ht="15" hidden="false" customHeight="false" outlineLevel="0" collapsed="false">
      <c r="A64" s="25"/>
      <c r="B64" s="4" t="s">
        <v>185</v>
      </c>
      <c r="C64" s="25"/>
      <c r="D64" s="25"/>
      <c r="E64" s="25"/>
      <c r="F64" s="25"/>
    </row>
    <row r="65" customFormat="false" ht="15" hidden="false" customHeight="false" outlineLevel="0" collapsed="false">
      <c r="A65" s="25"/>
      <c r="B65" s="4" t="s">
        <v>187</v>
      </c>
      <c r="C65" s="25"/>
      <c r="D65" s="25"/>
      <c r="E65" s="25"/>
      <c r="F65" s="25"/>
    </row>
    <row r="66" customFormat="false" ht="15" hidden="false" customHeight="false" outlineLevel="0" collapsed="false">
      <c r="A66" s="25"/>
      <c r="B66" s="4" t="s">
        <v>189</v>
      </c>
      <c r="C66" s="25"/>
      <c r="D66" s="25"/>
      <c r="E66" s="25"/>
      <c r="F66" s="25"/>
    </row>
    <row r="67" customFormat="false" ht="15" hidden="false" customHeight="false" outlineLevel="0" collapsed="false">
      <c r="A67" s="25"/>
      <c r="B67" s="4" t="s">
        <v>191</v>
      </c>
      <c r="C67" s="25"/>
      <c r="D67" s="25"/>
      <c r="E67" s="25"/>
      <c r="F67" s="25"/>
    </row>
    <row r="68" customFormat="false" ht="15" hidden="false" customHeight="false" outlineLevel="0" collapsed="false">
      <c r="A68" s="25"/>
      <c r="B68" s="4" t="s">
        <v>194</v>
      </c>
      <c r="C68" s="25"/>
      <c r="D68" s="25"/>
      <c r="E68" s="25"/>
      <c r="F68" s="25"/>
    </row>
    <row r="69" customFormat="false" ht="15" hidden="false" customHeight="false" outlineLevel="0" collapsed="false">
      <c r="A69" s="25"/>
      <c r="B69" s="4" t="s">
        <v>197</v>
      </c>
      <c r="C69" s="25"/>
      <c r="D69" s="25"/>
      <c r="E69" s="25"/>
      <c r="F69" s="25"/>
    </row>
    <row r="70" customFormat="false" ht="15" hidden="false" customHeight="false" outlineLevel="0" collapsed="false">
      <c r="A70" s="25"/>
      <c r="B70" s="4" t="s">
        <v>199</v>
      </c>
      <c r="C70" s="25"/>
      <c r="D70" s="25"/>
      <c r="E70" s="25"/>
      <c r="F70" s="25"/>
    </row>
    <row r="71" customFormat="false" ht="15" hidden="false" customHeight="false" outlineLevel="0" collapsed="false">
      <c r="A71" s="25"/>
      <c r="B71" s="4" t="s">
        <v>202</v>
      </c>
      <c r="C71" s="25"/>
      <c r="D71" s="25"/>
      <c r="E71" s="25"/>
      <c r="F71" s="25"/>
    </row>
    <row r="72" customFormat="false" ht="15" hidden="false" customHeight="false" outlineLevel="0" collapsed="false">
      <c r="A72" s="25"/>
      <c r="B72" s="4" t="s">
        <v>204</v>
      </c>
      <c r="C72" s="25"/>
      <c r="D72" s="25"/>
      <c r="E72" s="25"/>
      <c r="F72" s="25"/>
    </row>
    <row r="73" customFormat="false" ht="15" hidden="false" customHeight="false" outlineLevel="0" collapsed="false">
      <c r="A73" s="25"/>
      <c r="B73" s="4" t="s">
        <v>206</v>
      </c>
      <c r="C73" s="25"/>
      <c r="D73" s="25"/>
      <c r="E73" s="25"/>
      <c r="F73" s="25"/>
    </row>
    <row r="74" customFormat="false" ht="15" hidden="false" customHeight="false" outlineLevel="0" collapsed="false">
      <c r="A74" s="25"/>
      <c r="B74" s="4" t="s">
        <v>208</v>
      </c>
      <c r="C74" s="25"/>
      <c r="D74" s="25"/>
      <c r="E74" s="25"/>
      <c r="F74" s="25"/>
    </row>
    <row r="75" customFormat="false" ht="15" hidden="false" customHeight="false" outlineLevel="0" collapsed="false">
      <c r="A75" s="25"/>
      <c r="B75" s="4" t="s">
        <v>211</v>
      </c>
      <c r="C75" s="25"/>
      <c r="D75" s="25"/>
      <c r="E75" s="25"/>
      <c r="F75" s="25"/>
    </row>
    <row r="76" customFormat="false" ht="15" hidden="false" customHeight="false" outlineLevel="0" collapsed="false">
      <c r="A76" s="25"/>
      <c r="B76" s="4" t="s">
        <v>213</v>
      </c>
      <c r="C76" s="25"/>
      <c r="D76" s="25"/>
      <c r="E76" s="25"/>
      <c r="F76" s="25"/>
    </row>
    <row r="77" customFormat="false" ht="15" hidden="false" customHeight="false" outlineLevel="0" collapsed="false">
      <c r="A77" s="25"/>
      <c r="B77" s="4" t="s">
        <v>216</v>
      </c>
      <c r="C77" s="25"/>
      <c r="D77" s="25"/>
      <c r="E77" s="25"/>
      <c r="F77" s="25"/>
    </row>
    <row r="78" customFormat="false" ht="15" hidden="false" customHeight="false" outlineLevel="0" collapsed="false">
      <c r="A78" s="25"/>
      <c r="B78" s="4" t="s">
        <v>219</v>
      </c>
      <c r="C78" s="25"/>
      <c r="D78" s="25"/>
      <c r="E78" s="25"/>
      <c r="F78" s="25"/>
    </row>
    <row r="79" customFormat="false" ht="15" hidden="false" customHeight="false" outlineLevel="0" collapsed="false">
      <c r="A79" s="75"/>
      <c r="B79" s="4" t="s">
        <v>222</v>
      </c>
      <c r="C79" s="25"/>
      <c r="D79" s="25"/>
      <c r="E79" s="25"/>
      <c r="F79" s="25"/>
    </row>
    <row r="80" customFormat="false" ht="15" hidden="false" customHeight="false" outlineLevel="0" collapsed="false">
      <c r="A80" s="25"/>
      <c r="B80" s="4" t="s">
        <v>224</v>
      </c>
      <c r="C80" s="25"/>
      <c r="D80" s="25"/>
      <c r="E80" s="25"/>
      <c r="F80" s="25"/>
    </row>
    <row r="81" customFormat="false" ht="15" hidden="false" customHeight="false" outlineLevel="0" collapsed="false">
      <c r="A81" s="25"/>
      <c r="B81" s="4" t="s">
        <v>226</v>
      </c>
      <c r="C81" s="25"/>
      <c r="D81" s="25"/>
      <c r="E81" s="25"/>
      <c r="F81" s="25"/>
    </row>
    <row r="82" customFormat="false" ht="15" hidden="false" customHeight="false" outlineLevel="0" collapsed="false">
      <c r="A82" s="25"/>
      <c r="B82" s="4" t="s">
        <v>229</v>
      </c>
      <c r="C82" s="25"/>
      <c r="D82" s="25"/>
      <c r="E82" s="25"/>
      <c r="F82" s="25"/>
    </row>
    <row r="83" customFormat="false" ht="15" hidden="false" customHeight="false" outlineLevel="0" collapsed="false">
      <c r="A83" s="25"/>
      <c r="B83" s="4" t="s">
        <v>231</v>
      </c>
      <c r="C83" s="25"/>
      <c r="D83" s="25"/>
      <c r="E83" s="25"/>
      <c r="F83" s="25"/>
    </row>
    <row r="84" customFormat="false" ht="15" hidden="false" customHeight="false" outlineLevel="0" collapsed="false">
      <c r="A84" s="25"/>
      <c r="B84" s="4" t="s">
        <v>233</v>
      </c>
      <c r="C84" s="25"/>
      <c r="D84" s="25"/>
      <c r="E84" s="25"/>
      <c r="F84" s="25"/>
    </row>
    <row r="85" customFormat="false" ht="15" hidden="false" customHeight="false" outlineLevel="0" collapsed="false">
      <c r="A85" s="25"/>
      <c r="B85" s="4" t="s">
        <v>235</v>
      </c>
      <c r="C85" s="25"/>
      <c r="D85" s="25"/>
      <c r="E85" s="25"/>
      <c r="F85" s="25"/>
    </row>
    <row r="86" customFormat="false" ht="15" hidden="false" customHeight="false" outlineLevel="0" collapsed="false">
      <c r="A86" s="25"/>
      <c r="B86" s="4" t="s">
        <v>237</v>
      </c>
      <c r="C86" s="25"/>
      <c r="D86" s="25"/>
      <c r="E86" s="25"/>
      <c r="F86" s="25"/>
    </row>
    <row r="87" customFormat="false" ht="15" hidden="false" customHeight="false" outlineLevel="0" collapsed="false">
      <c r="A87" s="25"/>
      <c r="B87" s="4" t="s">
        <v>239</v>
      </c>
      <c r="C87" s="25"/>
      <c r="D87" s="25"/>
      <c r="E87" s="25"/>
      <c r="F87" s="25"/>
    </row>
    <row r="88" customFormat="false" ht="15" hidden="false" customHeight="false" outlineLevel="0" collapsed="false">
      <c r="A88" s="25"/>
      <c r="B88" s="4" t="s">
        <v>242</v>
      </c>
      <c r="C88" s="25"/>
      <c r="D88" s="25"/>
      <c r="E88" s="25"/>
      <c r="F88" s="25"/>
    </row>
    <row r="89" customFormat="false" ht="15" hidden="false" customHeight="false" outlineLevel="0" collapsed="false">
      <c r="A89" s="25"/>
      <c r="B89" s="4" t="s">
        <v>246</v>
      </c>
      <c r="C89" s="25"/>
      <c r="D89" s="25"/>
      <c r="E89" s="25"/>
      <c r="F89" s="25"/>
    </row>
    <row r="90" customFormat="false" ht="15" hidden="false" customHeight="false" outlineLevel="0" collapsed="false">
      <c r="A90" s="25"/>
      <c r="B90" s="4" t="s">
        <v>248</v>
      </c>
      <c r="C90" s="25"/>
      <c r="D90" s="25"/>
      <c r="E90" s="25"/>
      <c r="F90" s="25"/>
    </row>
    <row r="91" customFormat="false" ht="15" hidden="false" customHeight="false" outlineLevel="0" collapsed="false">
      <c r="A91" s="25"/>
      <c r="B91" s="4" t="s">
        <v>250</v>
      </c>
      <c r="C91" s="25"/>
      <c r="D91" s="25"/>
      <c r="E91" s="25"/>
      <c r="F91" s="25"/>
    </row>
    <row r="92" customFormat="false" ht="15" hidden="false" customHeight="false" outlineLevel="0" collapsed="false">
      <c r="A92" s="25"/>
      <c r="B92" s="4" t="s">
        <v>252</v>
      </c>
      <c r="C92" s="25"/>
      <c r="D92" s="25"/>
      <c r="E92" s="25"/>
      <c r="F92" s="25"/>
    </row>
    <row r="93" customFormat="false" ht="15" hidden="false" customHeight="false" outlineLevel="0" collapsed="false">
      <c r="A93" s="25"/>
      <c r="B93" s="4" t="s">
        <v>255</v>
      </c>
      <c r="C93" s="25"/>
      <c r="D93" s="25"/>
      <c r="E93" s="25"/>
      <c r="F93" s="25"/>
    </row>
    <row r="94" customFormat="false" ht="15" hidden="false" customHeight="false" outlineLevel="0" collapsed="false">
      <c r="A94" s="25"/>
      <c r="B94" s="4" t="s">
        <v>258</v>
      </c>
      <c r="C94" s="25"/>
      <c r="D94" s="25"/>
      <c r="E94" s="25"/>
      <c r="F94" s="25"/>
    </row>
    <row r="95" customFormat="false" ht="15" hidden="false" customHeight="false" outlineLevel="0" collapsed="false">
      <c r="A95" s="25"/>
      <c r="B95" s="4" t="s">
        <v>260</v>
      </c>
      <c r="C95" s="25"/>
      <c r="D95" s="25"/>
      <c r="E95" s="25"/>
      <c r="F95" s="25"/>
    </row>
    <row r="96" customFormat="false" ht="15" hidden="false" customHeight="false" outlineLevel="0" collapsed="false">
      <c r="A96" s="25"/>
      <c r="B96" s="4" t="s">
        <v>262</v>
      </c>
      <c r="C96" s="25"/>
      <c r="D96" s="25"/>
      <c r="E96" s="25"/>
      <c r="F96" s="25"/>
    </row>
    <row r="97" customFormat="false" ht="15" hidden="false" customHeight="false" outlineLevel="0" collapsed="false">
      <c r="A97" s="25"/>
      <c r="B97" s="4" t="s">
        <v>264</v>
      </c>
      <c r="C97" s="25"/>
      <c r="D97" s="25"/>
      <c r="E97" s="25"/>
      <c r="F97" s="25"/>
    </row>
    <row r="98" customFormat="false" ht="15" hidden="false" customHeight="false" outlineLevel="0" collapsed="false">
      <c r="A98" s="25"/>
      <c r="B98" s="4" t="s">
        <v>266</v>
      </c>
      <c r="C98" s="25"/>
      <c r="D98" s="25"/>
      <c r="E98" s="25"/>
      <c r="F98" s="25"/>
    </row>
    <row r="99" customFormat="false" ht="15" hidden="false" customHeight="false" outlineLevel="0" collapsed="false">
      <c r="A99" s="25"/>
      <c r="B99" s="4" t="s">
        <v>268</v>
      </c>
      <c r="C99" s="25"/>
      <c r="D99" s="25"/>
      <c r="E99" s="25"/>
      <c r="F99" s="25"/>
    </row>
    <row r="100" customFormat="false" ht="15" hidden="false" customHeight="false" outlineLevel="0" collapsed="false">
      <c r="A100" s="25"/>
      <c r="B100" s="4" t="s">
        <v>270</v>
      </c>
      <c r="C100" s="25"/>
      <c r="D100" s="25"/>
      <c r="E100" s="25"/>
      <c r="F100" s="25"/>
    </row>
    <row r="101" customFormat="false" ht="15" hidden="false" customHeight="false" outlineLevel="0" collapsed="false">
      <c r="A101" s="25"/>
      <c r="B101" s="4" t="s">
        <v>272</v>
      </c>
      <c r="C101" s="25"/>
      <c r="D101" s="25"/>
      <c r="E101" s="25"/>
      <c r="F101" s="25"/>
    </row>
    <row r="102" customFormat="false" ht="15" hidden="false" customHeight="false" outlineLevel="0" collapsed="false">
      <c r="A102" s="25"/>
      <c r="B102" s="4" t="s">
        <v>274</v>
      </c>
      <c r="C102" s="25"/>
      <c r="D102" s="25"/>
      <c r="E102" s="25"/>
      <c r="F102" s="25"/>
    </row>
    <row r="103" customFormat="false" ht="15" hidden="false" customHeight="false" outlineLevel="0" collapsed="false">
      <c r="A103" s="25"/>
      <c r="B103" s="4" t="s">
        <v>276</v>
      </c>
      <c r="C103" s="25"/>
      <c r="D103" s="25"/>
      <c r="E103" s="25"/>
      <c r="F103" s="25"/>
    </row>
    <row r="104" customFormat="false" ht="15" hidden="false" customHeight="false" outlineLevel="0" collapsed="false">
      <c r="A104" s="25"/>
      <c r="B104" s="4" t="s">
        <v>278</v>
      </c>
      <c r="C104" s="25"/>
      <c r="D104" s="25"/>
      <c r="E104" s="25"/>
      <c r="F104" s="25"/>
    </row>
    <row r="105" customFormat="false" ht="15" hidden="false" customHeight="false" outlineLevel="0" collapsed="false">
      <c r="A105" s="25"/>
      <c r="B105" s="4" t="s">
        <v>280</v>
      </c>
      <c r="C105" s="25"/>
      <c r="D105" s="25"/>
      <c r="E105" s="25"/>
      <c r="F105" s="25"/>
    </row>
    <row r="106" customFormat="false" ht="15" hidden="false" customHeight="false" outlineLevel="0" collapsed="false">
      <c r="A106" s="25"/>
      <c r="B106" s="4" t="s">
        <v>284</v>
      </c>
      <c r="C106" s="25"/>
      <c r="D106" s="25"/>
      <c r="E106" s="25"/>
      <c r="F106" s="25"/>
    </row>
    <row r="107" customFormat="false" ht="15" hidden="false" customHeight="false" outlineLevel="0" collapsed="false">
      <c r="A107" s="25"/>
      <c r="B107" s="4" t="s">
        <v>286</v>
      </c>
      <c r="C107" s="25"/>
      <c r="D107" s="25"/>
      <c r="E107" s="25"/>
      <c r="F107" s="25"/>
    </row>
    <row r="108" customFormat="false" ht="15" hidden="false" customHeight="false" outlineLevel="0" collapsed="false">
      <c r="A108" s="25"/>
      <c r="B108" s="4" t="s">
        <v>290</v>
      </c>
      <c r="C108" s="25"/>
      <c r="D108" s="25"/>
      <c r="E108" s="25"/>
      <c r="F108" s="25"/>
    </row>
    <row r="109" customFormat="false" ht="15" hidden="false" customHeight="false" outlineLevel="0" collapsed="false">
      <c r="A109" s="25"/>
      <c r="B109" s="4" t="s">
        <v>294</v>
      </c>
      <c r="C109" s="25"/>
      <c r="D109" s="25"/>
      <c r="E109" s="25"/>
      <c r="F109" s="25"/>
    </row>
    <row r="110" customFormat="false" ht="15" hidden="false" customHeight="false" outlineLevel="0" collapsed="false">
      <c r="A110" s="25"/>
      <c r="B110" s="4" t="s">
        <v>296</v>
      </c>
      <c r="C110" s="25"/>
      <c r="D110" s="25"/>
      <c r="E110" s="25"/>
      <c r="F110" s="25"/>
    </row>
    <row r="111" customFormat="false" ht="15" hidden="false" customHeight="false" outlineLevel="0" collapsed="false">
      <c r="A111" s="25"/>
      <c r="B111" s="4" t="s">
        <v>300</v>
      </c>
      <c r="C111" s="25"/>
      <c r="D111" s="25"/>
      <c r="E111" s="25"/>
      <c r="F111" s="25"/>
    </row>
    <row r="112" customFormat="false" ht="15" hidden="false" customHeight="false" outlineLevel="0" collapsed="false">
      <c r="A112" s="25"/>
      <c r="B112" s="4" t="s">
        <v>303</v>
      </c>
      <c r="C112" s="25"/>
      <c r="D112" s="25"/>
      <c r="E112" s="25"/>
      <c r="F112" s="25"/>
    </row>
    <row r="113" customFormat="false" ht="15" hidden="false" customHeight="false" outlineLevel="0" collapsed="false">
      <c r="A113" s="25"/>
      <c r="B113" s="4" t="s">
        <v>305</v>
      </c>
      <c r="C113" s="25"/>
      <c r="D113" s="25"/>
      <c r="E113" s="25"/>
      <c r="F113" s="25"/>
    </row>
    <row r="114" customFormat="false" ht="15" hidden="false" customHeight="false" outlineLevel="0" collapsed="false">
      <c r="A114" s="25"/>
      <c r="B114" s="4" t="s">
        <v>307</v>
      </c>
      <c r="C114" s="25"/>
      <c r="D114" s="25"/>
      <c r="E114" s="25"/>
      <c r="F114" s="25"/>
    </row>
    <row r="115" customFormat="false" ht="15" hidden="false" customHeight="false" outlineLevel="0" collapsed="false">
      <c r="A115" s="25"/>
      <c r="B115" s="4" t="s">
        <v>310</v>
      </c>
      <c r="C115" s="25"/>
      <c r="D115" s="25"/>
      <c r="E115" s="25"/>
      <c r="F115" s="25"/>
    </row>
    <row r="116" customFormat="false" ht="15" hidden="false" customHeight="false" outlineLevel="0" collapsed="false">
      <c r="A116" s="25"/>
      <c r="B116" s="4" t="s">
        <v>312</v>
      </c>
      <c r="C116" s="25"/>
      <c r="D116" s="25"/>
      <c r="E116" s="25"/>
      <c r="F116" s="25"/>
    </row>
    <row r="117" customFormat="false" ht="15" hidden="false" customHeight="false" outlineLevel="0" collapsed="false">
      <c r="A117" s="25"/>
      <c r="B117" s="4" t="s">
        <v>314</v>
      </c>
      <c r="C117" s="25"/>
      <c r="D117" s="25"/>
      <c r="E117" s="25"/>
      <c r="F117" s="25"/>
    </row>
    <row r="118" customFormat="false" ht="15" hidden="false" customHeight="false" outlineLevel="0" collapsed="false">
      <c r="A118" s="25"/>
      <c r="B118" s="4" t="s">
        <v>318</v>
      </c>
      <c r="C118" s="25"/>
      <c r="D118" s="25"/>
      <c r="E118" s="25"/>
      <c r="F118" s="25"/>
    </row>
    <row r="119" customFormat="false" ht="15" hidden="false" customHeight="false" outlineLevel="0" collapsed="false">
      <c r="A119" s="25"/>
      <c r="B119" s="4" t="s">
        <v>322</v>
      </c>
      <c r="C119" s="25"/>
      <c r="D119" s="25"/>
      <c r="E119" s="25"/>
      <c r="F119" s="25"/>
    </row>
    <row r="120" customFormat="false" ht="15" hidden="false" customHeight="false" outlineLevel="0" collapsed="false">
      <c r="A120" s="25"/>
      <c r="B120" s="4" t="s">
        <v>324</v>
      </c>
      <c r="C120" s="25"/>
      <c r="D120" s="25"/>
      <c r="E120" s="25"/>
      <c r="F120" s="25"/>
    </row>
    <row r="121" customFormat="false" ht="15" hidden="false" customHeight="false" outlineLevel="0" collapsed="false">
      <c r="A121" s="25"/>
      <c r="B121" s="4" t="s">
        <v>327</v>
      </c>
      <c r="C121" s="25"/>
      <c r="D121" s="25"/>
      <c r="E121" s="25"/>
      <c r="F121" s="25"/>
    </row>
    <row r="122" customFormat="false" ht="15" hidden="false" customHeight="false" outlineLevel="0" collapsed="false">
      <c r="A122" s="25"/>
      <c r="B122" s="4" t="s">
        <v>329</v>
      </c>
      <c r="C122" s="25"/>
      <c r="D122" s="25"/>
      <c r="E122" s="25"/>
      <c r="F122" s="25"/>
    </row>
    <row r="123" customFormat="false" ht="15" hidden="false" customHeight="false" outlineLevel="0" collapsed="false">
      <c r="A123" s="25"/>
      <c r="B123" s="4" t="s">
        <v>331</v>
      </c>
      <c r="C123" s="25"/>
      <c r="D123" s="25"/>
      <c r="E123" s="25"/>
      <c r="F123" s="25"/>
    </row>
    <row r="124" customFormat="false" ht="15" hidden="false" customHeight="false" outlineLevel="0" collapsed="false">
      <c r="A124" s="25"/>
      <c r="B124" s="4" t="s">
        <v>333</v>
      </c>
      <c r="C124" s="25"/>
      <c r="D124" s="25"/>
      <c r="E124" s="25"/>
      <c r="F124" s="25"/>
    </row>
    <row r="125" customFormat="false" ht="15" hidden="false" customHeight="false" outlineLevel="0" collapsed="false">
      <c r="A125" s="25"/>
      <c r="B125" s="4" t="s">
        <v>335</v>
      </c>
      <c r="C125" s="25"/>
      <c r="D125" s="25"/>
      <c r="E125" s="25"/>
      <c r="F125" s="25"/>
    </row>
    <row r="126" customFormat="false" ht="15" hidden="false" customHeight="false" outlineLevel="0" collapsed="false">
      <c r="A126" s="25"/>
      <c r="B126" s="4" t="s">
        <v>337</v>
      </c>
      <c r="C126" s="25"/>
      <c r="D126" s="25"/>
      <c r="E126" s="25"/>
      <c r="F126" s="25"/>
    </row>
    <row r="127" customFormat="false" ht="15" hidden="false" customHeight="false" outlineLevel="0" collapsed="false">
      <c r="A127" s="25"/>
      <c r="B127" s="4" t="s">
        <v>339</v>
      </c>
      <c r="C127" s="25"/>
      <c r="D127" s="25"/>
      <c r="E127" s="25"/>
      <c r="F127" s="25"/>
    </row>
    <row r="128" customFormat="false" ht="15" hidden="false" customHeight="false" outlineLevel="0" collapsed="false">
      <c r="A128" s="25"/>
      <c r="B128" s="4" t="s">
        <v>341</v>
      </c>
      <c r="C128" s="25"/>
      <c r="D128" s="25"/>
      <c r="E128" s="25"/>
      <c r="F128" s="25"/>
    </row>
    <row r="129" customFormat="false" ht="15" hidden="false" customHeight="false" outlineLevel="0" collapsed="false">
      <c r="A129" s="25"/>
      <c r="B129" s="4" t="s">
        <v>343</v>
      </c>
      <c r="C129" s="25"/>
      <c r="D129" s="25"/>
      <c r="E129" s="25"/>
      <c r="F129" s="25"/>
    </row>
    <row r="130" customFormat="false" ht="15" hidden="false" customHeight="false" outlineLevel="0" collapsed="false">
      <c r="A130" s="25"/>
      <c r="B130" s="4" t="s">
        <v>345</v>
      </c>
      <c r="C130" s="25"/>
      <c r="D130" s="25"/>
      <c r="E130" s="25"/>
      <c r="F130" s="25"/>
    </row>
    <row r="131" customFormat="false" ht="15" hidden="false" customHeight="false" outlineLevel="0" collapsed="false">
      <c r="A131" s="25"/>
      <c r="B131" s="4" t="s">
        <v>347</v>
      </c>
      <c r="C131" s="25"/>
      <c r="D131" s="25"/>
      <c r="E131" s="25"/>
      <c r="F131" s="25"/>
    </row>
    <row r="132" customFormat="false" ht="15" hidden="false" customHeight="false" outlineLevel="0" collapsed="false">
      <c r="A132" s="25"/>
      <c r="B132" s="4" t="s">
        <v>349</v>
      </c>
      <c r="C132" s="25"/>
      <c r="D132" s="25"/>
      <c r="E132" s="25"/>
      <c r="F132" s="25"/>
    </row>
    <row r="133" customFormat="false" ht="15" hidden="false" customHeight="false" outlineLevel="0" collapsed="false">
      <c r="A133" s="25"/>
      <c r="B133" s="4" t="s">
        <v>351</v>
      </c>
      <c r="C133" s="25"/>
      <c r="D133" s="25"/>
      <c r="E133" s="25"/>
      <c r="F133" s="25"/>
    </row>
    <row r="134" customFormat="false" ht="15" hidden="false" customHeight="false" outlineLevel="0" collapsed="false">
      <c r="A134" s="25"/>
      <c r="B134" s="4" t="s">
        <v>353</v>
      </c>
      <c r="C134" s="25"/>
      <c r="D134" s="25"/>
      <c r="E134" s="25"/>
      <c r="F134" s="25"/>
    </row>
    <row r="135" customFormat="false" ht="15" hidden="false" customHeight="false" outlineLevel="0" collapsed="false">
      <c r="A135" s="25"/>
      <c r="B135" s="4" t="s">
        <v>356</v>
      </c>
      <c r="C135" s="25"/>
      <c r="D135" s="25"/>
      <c r="E135" s="25"/>
      <c r="F135" s="25"/>
    </row>
    <row r="136" customFormat="false" ht="15" hidden="false" customHeight="false" outlineLevel="0" collapsed="false">
      <c r="A136" s="25"/>
      <c r="B136" s="4" t="s">
        <v>358</v>
      </c>
      <c r="C136" s="25"/>
      <c r="D136" s="25"/>
      <c r="E136" s="25"/>
      <c r="F136" s="25"/>
    </row>
    <row r="137" customFormat="false" ht="15" hidden="false" customHeight="false" outlineLevel="0" collapsed="false">
      <c r="A137" s="25"/>
      <c r="B137" s="4" t="s">
        <v>360</v>
      </c>
      <c r="C137" s="25"/>
      <c r="D137" s="25"/>
      <c r="E137" s="25"/>
      <c r="F137" s="25"/>
    </row>
    <row r="138" customFormat="false" ht="15" hidden="false" customHeight="false" outlineLevel="0" collapsed="false">
      <c r="A138" s="25"/>
      <c r="B138" s="4" t="s">
        <v>363</v>
      </c>
      <c r="C138" s="25"/>
      <c r="D138" s="25"/>
      <c r="E138" s="25"/>
      <c r="F138" s="25"/>
    </row>
    <row r="139" customFormat="false" ht="15" hidden="false" customHeight="false" outlineLevel="0" collapsed="false">
      <c r="A139" s="25"/>
      <c r="B139" s="4" t="s">
        <v>366</v>
      </c>
      <c r="C139" s="25"/>
      <c r="D139" s="25"/>
      <c r="E139" s="25"/>
      <c r="F139" s="25"/>
    </row>
    <row r="140" customFormat="false" ht="15" hidden="false" customHeight="false" outlineLevel="0" collapsed="false">
      <c r="A140" s="25"/>
      <c r="B140" s="4" t="s">
        <v>368</v>
      </c>
      <c r="C140" s="25"/>
      <c r="D140" s="25"/>
      <c r="E140" s="25"/>
      <c r="F140" s="25"/>
    </row>
    <row r="141" customFormat="false" ht="15" hidden="false" customHeight="false" outlineLevel="0" collapsed="false">
      <c r="A141" s="25"/>
      <c r="B141" s="4" t="s">
        <v>370</v>
      </c>
      <c r="C141" s="25"/>
      <c r="D141" s="25"/>
      <c r="E141" s="25"/>
      <c r="F141" s="25"/>
    </row>
    <row r="142" customFormat="false" ht="15" hidden="false" customHeight="false" outlineLevel="0" collapsed="false">
      <c r="A142" s="25"/>
      <c r="B142" s="4" t="s">
        <v>372</v>
      </c>
      <c r="C142" s="25"/>
      <c r="D142" s="25"/>
      <c r="E142" s="25"/>
      <c r="F142" s="25"/>
    </row>
    <row r="143" customFormat="false" ht="15" hidden="false" customHeight="false" outlineLevel="0" collapsed="false">
      <c r="A143" s="25"/>
      <c r="B143" s="4" t="s">
        <v>374</v>
      </c>
      <c r="C143" s="25"/>
      <c r="D143" s="25"/>
      <c r="E143" s="25"/>
      <c r="F143" s="25"/>
    </row>
    <row r="144" customFormat="false" ht="15" hidden="false" customHeight="false" outlineLevel="0" collapsed="false">
      <c r="A144" s="25"/>
      <c r="B144" s="4" t="s">
        <v>376</v>
      </c>
      <c r="C144" s="25"/>
      <c r="D144" s="25"/>
      <c r="E144" s="25"/>
      <c r="F144" s="25"/>
    </row>
    <row r="145" customFormat="false" ht="15" hidden="false" customHeight="false" outlineLevel="0" collapsed="false">
      <c r="A145" s="25"/>
      <c r="B145" s="4" t="s">
        <v>378</v>
      </c>
      <c r="C145" s="25"/>
      <c r="D145" s="25"/>
      <c r="E145" s="25"/>
      <c r="F145" s="25"/>
    </row>
    <row r="146" customFormat="false" ht="15" hidden="false" customHeight="false" outlineLevel="0" collapsed="false">
      <c r="A146" s="25"/>
      <c r="B146" s="4" t="s">
        <v>380</v>
      </c>
      <c r="C146" s="25"/>
      <c r="D146" s="25"/>
      <c r="E146" s="25"/>
      <c r="F146" s="25"/>
    </row>
    <row r="147" customFormat="false" ht="15" hidden="false" customHeight="false" outlineLevel="0" collapsed="false">
      <c r="A147" s="25"/>
      <c r="B147" s="4" t="s">
        <v>382</v>
      </c>
      <c r="C147" s="25"/>
      <c r="D147" s="25"/>
      <c r="E147" s="25"/>
      <c r="F147" s="25"/>
    </row>
    <row r="148" customFormat="false" ht="15" hidden="false" customHeight="false" outlineLevel="0" collapsed="false">
      <c r="A148" s="25"/>
      <c r="B148" s="4" t="s">
        <v>384</v>
      </c>
      <c r="C148" s="25"/>
      <c r="D148" s="25"/>
      <c r="E148" s="25"/>
      <c r="F148" s="25"/>
    </row>
    <row r="149" customFormat="false" ht="15" hidden="false" customHeight="false" outlineLevel="0" collapsed="false">
      <c r="A149" s="25"/>
      <c r="B149" s="4"/>
      <c r="C149" s="25"/>
      <c r="D149" s="25"/>
      <c r="E149" s="25"/>
      <c r="F149" s="25"/>
    </row>
    <row r="150" customFormat="false" ht="15" hidden="false" customHeight="false" outlineLevel="0" collapsed="false">
      <c r="A150" s="25"/>
      <c r="B150" s="4"/>
      <c r="C150" s="25"/>
      <c r="D150" s="25"/>
      <c r="E150" s="25"/>
      <c r="F150" s="25"/>
    </row>
    <row r="151" customFormat="false" ht="15" hidden="false" customHeight="false" outlineLevel="0" collapsed="false">
      <c r="A151" s="25"/>
      <c r="B151" s="4"/>
      <c r="C151" s="25"/>
      <c r="D151" s="25"/>
      <c r="E151" s="25"/>
      <c r="F151" s="25"/>
    </row>
    <row r="152" customFormat="false" ht="15" hidden="false" customHeight="false" outlineLevel="0" collapsed="false">
      <c r="A152" s="25"/>
      <c r="B152" s="4"/>
      <c r="C152" s="25"/>
      <c r="D152" s="25"/>
      <c r="E152" s="25"/>
      <c r="F152" s="25"/>
    </row>
    <row r="153" customFormat="false" ht="15" hidden="false" customHeight="false" outlineLevel="0" collapsed="false">
      <c r="A153" s="25"/>
      <c r="B153" s="4"/>
      <c r="C153" s="25"/>
      <c r="D153" s="25"/>
      <c r="E153" s="25"/>
      <c r="F153" s="25"/>
    </row>
    <row r="154" customFormat="false" ht="15" hidden="false" customHeight="false" outlineLevel="0" collapsed="false">
      <c r="A154" s="25"/>
      <c r="B154" s="4"/>
      <c r="C154" s="25"/>
      <c r="D154" s="25"/>
      <c r="E154" s="25"/>
      <c r="F154" s="25"/>
    </row>
    <row r="155" customFormat="false" ht="15" hidden="false" customHeight="false" outlineLevel="0" collapsed="false">
      <c r="A155" s="25"/>
      <c r="B155" s="4"/>
      <c r="C155" s="25"/>
      <c r="D155" s="25"/>
      <c r="E155" s="25"/>
      <c r="F155" s="25"/>
    </row>
    <row r="156" customFormat="false" ht="15" hidden="false" customHeight="false" outlineLevel="0" collapsed="false">
      <c r="A156" s="25"/>
      <c r="B156" s="4"/>
      <c r="C156" s="25"/>
      <c r="D156" s="25"/>
      <c r="E156" s="25"/>
      <c r="F156" s="25"/>
    </row>
    <row r="157" customFormat="false" ht="15" hidden="false" customHeight="false" outlineLevel="0" collapsed="false">
      <c r="A157" s="25"/>
      <c r="B157" s="4"/>
      <c r="C157" s="25"/>
      <c r="D157" s="25"/>
      <c r="E157" s="25"/>
      <c r="F157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5.18"/>
    <col collapsed="false" customWidth="true" hidden="false" outlineLevel="0" max="2" min="2" style="1" width="10.45"/>
    <col collapsed="false" customWidth="true" hidden="false" outlineLevel="0" max="3" min="3" style="1" width="22.45"/>
    <col collapsed="false" customWidth="true" hidden="false" outlineLevel="0" max="4" min="4" style="1" width="13.27"/>
    <col collapsed="false" customWidth="true" hidden="false" outlineLevel="0" max="5" min="5" style="1" width="18.45"/>
    <col collapsed="false" customWidth="true" hidden="false" outlineLevel="0" max="6" min="6" style="1" width="51.73"/>
  </cols>
  <sheetData>
    <row r="1" customFormat="false" ht="14.25" hidden="false" customHeight="false" outlineLevel="0" collapsed="false">
      <c r="A1" s="76" t="s">
        <v>592</v>
      </c>
      <c r="B1" s="76" t="s">
        <v>593</v>
      </c>
      <c r="C1" s="76" t="s">
        <v>4</v>
      </c>
      <c r="D1" s="76" t="s">
        <v>601</v>
      </c>
      <c r="E1" s="76" t="s">
        <v>603</v>
      </c>
      <c r="F1" s="76" t="s">
        <v>606</v>
      </c>
    </row>
    <row r="2" customFormat="false" ht="14.25" hidden="false" customHeight="false" outlineLevel="0" collapsed="false">
      <c r="A2" s="77" t="n">
        <v>1</v>
      </c>
      <c r="B2" s="78" t="n">
        <v>45425</v>
      </c>
      <c r="C2" s="77" t="s">
        <v>70</v>
      </c>
      <c r="D2" s="79" t="n">
        <f aca="false">SUMIF('Order Tracker'!G2:G6,C2,'Order Tracker'!L2:L6)</f>
        <v>59317.0025</v>
      </c>
      <c r="E2" s="77" t="s">
        <v>787</v>
      </c>
      <c r="F2" s="77" t="s">
        <v>65</v>
      </c>
    </row>
    <row r="3" customFormat="false" ht="14.25" hidden="false" customHeight="false" outlineLevel="0" collapsed="false">
      <c r="A3" s="77" t="n">
        <v>2</v>
      </c>
      <c r="B3" s="78" t="n">
        <v>45425</v>
      </c>
      <c r="C3" s="77" t="s">
        <v>38</v>
      </c>
      <c r="D3" s="79" t="n">
        <f aca="false">SUMIF('Order Tracker'!G3:G7,C3,'Order Tracker'!L3:L7)</f>
        <v>11580.52</v>
      </c>
      <c r="E3" s="77" t="s">
        <v>610</v>
      </c>
      <c r="F3" s="77" t="s">
        <v>65</v>
      </c>
    </row>
    <row r="4" customFormat="false" ht="14.25" hidden="false" customHeight="false" outlineLevel="0" collapsed="false">
      <c r="A4" s="77" t="n">
        <v>3</v>
      </c>
      <c r="B4" s="78" t="n">
        <v>45425</v>
      </c>
      <c r="C4" s="77" t="s">
        <v>612</v>
      </c>
      <c r="D4" s="79" t="n">
        <f aca="false">SUMIF('Order Tracker'!G4:G8,C4,'Order Tracker'!L4:L8)</f>
        <v>178180</v>
      </c>
      <c r="E4" s="77" t="s">
        <v>610</v>
      </c>
      <c r="F4" s="77" t="s">
        <v>788</v>
      </c>
    </row>
    <row r="5" customFormat="false" ht="14.25" hidden="false" customHeight="false" outlineLevel="0" collapsed="false">
      <c r="A5" s="77" t="n">
        <v>4</v>
      </c>
      <c r="B5" s="78" t="n">
        <v>45426</v>
      </c>
      <c r="C5" s="77" t="s">
        <v>23</v>
      </c>
      <c r="D5" s="79" t="n">
        <f aca="false">SUMIF('Order Tracker'!G5:G9,C5,'Order Tracker'!L5:L9)</f>
        <v>56640</v>
      </c>
      <c r="E5" s="77" t="s">
        <v>610</v>
      </c>
      <c r="F5" s="77"/>
    </row>
    <row r="6" customFormat="false" ht="14.25" hidden="false" customHeight="false" outlineLevel="0" collapsed="false">
      <c r="A6" s="77" t="n">
        <v>5</v>
      </c>
      <c r="B6" s="78" t="n">
        <v>45426</v>
      </c>
      <c r="C6" s="77" t="s">
        <v>245</v>
      </c>
      <c r="D6" s="79" t="n">
        <f aca="false">SUMIF('Order Tracker'!G6:G10,C6,'Order Tracker'!L6:L10)</f>
        <v>23163</v>
      </c>
      <c r="E6" s="77" t="s">
        <v>610</v>
      </c>
      <c r="F6" s="77"/>
    </row>
    <row r="7" customFormat="false" ht="14.25" hidden="false" customHeight="false" outlineLevel="0" collapsed="false">
      <c r="A7" s="77" t="n">
        <v>6</v>
      </c>
      <c r="B7" s="78" t="n">
        <v>45427</v>
      </c>
      <c r="C7" s="77" t="s">
        <v>245</v>
      </c>
      <c r="D7" s="79" t="n">
        <v>9240</v>
      </c>
      <c r="E7" s="77" t="s">
        <v>610</v>
      </c>
      <c r="F7" s="77"/>
    </row>
    <row r="8" customFormat="false" ht="14.25" hidden="false" customHeight="false" outlineLevel="0" collapsed="false">
      <c r="A8" s="77" t="n">
        <v>7</v>
      </c>
      <c r="B8" s="78" t="n">
        <v>45427</v>
      </c>
      <c r="C8" s="80" t="s">
        <v>70</v>
      </c>
      <c r="D8" s="79" t="n">
        <v>522</v>
      </c>
      <c r="E8" s="77" t="s">
        <v>610</v>
      </c>
      <c r="F8" s="77" t="s">
        <v>614</v>
      </c>
    </row>
    <row r="9" customFormat="false" ht="14.25" hidden="false" customHeight="false" outlineLevel="0" collapsed="false">
      <c r="A9" s="77" t="n">
        <v>8</v>
      </c>
      <c r="B9" s="78" t="n">
        <v>45433</v>
      </c>
      <c r="C9" s="80" t="s">
        <v>612</v>
      </c>
      <c r="D9" s="79" t="n">
        <v>121625</v>
      </c>
      <c r="E9" s="77" t="s">
        <v>610</v>
      </c>
      <c r="F9" s="77"/>
    </row>
    <row r="10" customFormat="false" ht="14.25" hidden="false" customHeight="false" outlineLevel="0" collapsed="false">
      <c r="A10" s="77" t="n">
        <v>9</v>
      </c>
      <c r="B10" s="78" t="n">
        <v>45432</v>
      </c>
      <c r="C10" s="77" t="s">
        <v>500</v>
      </c>
      <c r="D10" s="79" t="n">
        <v>33335</v>
      </c>
      <c r="E10" s="77" t="s">
        <v>610</v>
      </c>
      <c r="F10" s="77" t="s">
        <v>789</v>
      </c>
    </row>
    <row r="11" customFormat="false" ht="14.25" hidden="false" customHeight="false" outlineLevel="0" collapsed="false">
      <c r="A11" s="77" t="n">
        <v>10</v>
      </c>
      <c r="B11" s="78" t="n">
        <v>45432</v>
      </c>
      <c r="C11" s="77" t="s">
        <v>102</v>
      </c>
      <c r="D11" s="79" t="n">
        <v>6550.64</v>
      </c>
      <c r="E11" s="77" t="s">
        <v>610</v>
      </c>
      <c r="F11" s="77" t="s">
        <v>789</v>
      </c>
    </row>
    <row r="12" customFormat="false" ht="14.25" hidden="false" customHeight="false" outlineLevel="0" collapsed="false">
      <c r="A12" s="77" t="n">
        <v>11</v>
      </c>
      <c r="B12" s="78" t="n">
        <v>45435</v>
      </c>
      <c r="C12" s="77" t="s">
        <v>98</v>
      </c>
      <c r="D12" s="79" t="n">
        <f aca="false">SUMIF('Order Tracker'!G12:G103,C12,'Order Tracker'!L12:L1000)</f>
        <v>13408.64</v>
      </c>
      <c r="E12" s="77" t="s">
        <v>610</v>
      </c>
      <c r="F12" s="77" t="s">
        <v>789</v>
      </c>
    </row>
    <row r="13" customFormat="false" ht="14.25" hidden="false" customHeight="false" outlineLevel="0" collapsed="false">
      <c r="A13" s="77" t="n">
        <v>12</v>
      </c>
      <c r="B13" s="78" t="n">
        <v>45435</v>
      </c>
      <c r="C13" s="77" t="s">
        <v>70</v>
      </c>
      <c r="D13" s="79" t="n">
        <f aca="false">SUMIF('Order Tracker'!G13:G104,C13,'Order Tracker'!L13:L1001)</f>
        <v>50775.7484</v>
      </c>
      <c r="E13" s="77" t="s">
        <v>610</v>
      </c>
      <c r="F13" s="77" t="s">
        <v>614</v>
      </c>
    </row>
    <row r="14" customFormat="false" ht="14.25" hidden="false" customHeight="false" outlineLevel="0" collapsed="false">
      <c r="A14" s="77" t="n">
        <v>13</v>
      </c>
      <c r="B14" s="78" t="n">
        <v>45435</v>
      </c>
      <c r="C14" s="77" t="s">
        <v>455</v>
      </c>
      <c r="D14" s="79" t="n">
        <f aca="false">SUMIF('Order Tracker'!G14:G110,C14,'Order Tracker'!L14:L1002)</f>
        <v>657549.92</v>
      </c>
      <c r="E14" s="77" t="s">
        <v>610</v>
      </c>
      <c r="F14" s="77" t="s">
        <v>789</v>
      </c>
    </row>
    <row r="15" customFormat="false" ht="24.05" hidden="false" customHeight="false" outlineLevel="0" collapsed="false">
      <c r="A15" s="77" t="n">
        <v>14</v>
      </c>
      <c r="B15" s="78" t="n">
        <v>45435</v>
      </c>
      <c r="C15" s="77" t="s">
        <v>23</v>
      </c>
      <c r="D15" s="79" t="n">
        <f aca="false">SUMIF('Order Tracker'!G15:G111,C15,'Order Tracker'!L15:L1003)</f>
        <v>147618</v>
      </c>
      <c r="E15" s="77" t="s">
        <v>610</v>
      </c>
      <c r="F15" s="81" t="s">
        <v>790</v>
      </c>
    </row>
    <row r="16" customFormat="false" ht="14.25" hidden="false" customHeight="false" outlineLevel="0" collapsed="false">
      <c r="A16" s="77" t="n">
        <v>15</v>
      </c>
      <c r="B16" s="78" t="n">
        <v>45435</v>
      </c>
      <c r="C16" s="77" t="s">
        <v>612</v>
      </c>
      <c r="D16" s="28" t="n">
        <v>76000</v>
      </c>
      <c r="E16" s="77" t="s">
        <v>610</v>
      </c>
      <c r="F16" s="9" t="s">
        <v>791</v>
      </c>
    </row>
    <row r="17" customFormat="false" ht="14.25" hidden="false" customHeight="false" outlineLevel="0" collapsed="false">
      <c r="A17" s="77" t="n">
        <v>16</v>
      </c>
      <c r="B17" s="82" t="n">
        <v>45436</v>
      </c>
      <c r="C17" s="77" t="s">
        <v>621</v>
      </c>
      <c r="D17" s="83" t="n">
        <f aca="false">SUMIF('Order Tracker'!G17:G113,C17,'Order Tracker'!L17:L1005)</f>
        <v>19381.5</v>
      </c>
      <c r="E17" s="77" t="s">
        <v>610</v>
      </c>
      <c r="F17" s="77" t="s">
        <v>792</v>
      </c>
    </row>
    <row r="18" customFormat="false" ht="14.25" hidden="false" customHeight="false" outlineLevel="0" collapsed="false">
      <c r="A18" s="77" t="n">
        <v>17</v>
      </c>
      <c r="B18" s="82" t="n">
        <v>45436</v>
      </c>
      <c r="C18" s="9" t="s">
        <v>619</v>
      </c>
      <c r="D18" s="83" t="n">
        <f aca="false">SUMIF('Order Tracker'!G12:G120,C18,'Order Tracker'!L12:L1006)</f>
        <v>6962</v>
      </c>
      <c r="E18" s="77" t="s">
        <v>610</v>
      </c>
      <c r="F18" s="77" t="s">
        <v>793</v>
      </c>
    </row>
    <row r="19" customFormat="false" ht="14.25" hidden="false" customHeight="false" outlineLevel="0" collapsed="false">
      <c r="A19" s="77" t="n">
        <v>18</v>
      </c>
      <c r="B19" s="82" t="n">
        <v>45436</v>
      </c>
      <c r="C19" s="77" t="s">
        <v>455</v>
      </c>
      <c r="D19" s="83" t="n">
        <f aca="false">SUMIF('Order Tracker'!G23:G121,C19,'Order Tracker'!L23:L1007)</f>
        <v>663389.42</v>
      </c>
      <c r="E19" s="77" t="s">
        <v>610</v>
      </c>
      <c r="F19" s="77" t="s">
        <v>794</v>
      </c>
    </row>
    <row r="20" customFormat="false" ht="14.25" hidden="false" customHeight="false" outlineLevel="0" collapsed="false">
      <c r="A20" s="77" t="n">
        <v>19</v>
      </c>
      <c r="B20" s="82" t="n">
        <v>45436</v>
      </c>
      <c r="C20" s="77" t="s">
        <v>98</v>
      </c>
      <c r="D20" s="83" t="n">
        <f aca="false">SUMIF('Order Tracker'!G24:G122,C20,'Order Tracker'!L24:L1008)</f>
        <v>13021.12</v>
      </c>
      <c r="E20" s="77" t="s">
        <v>610</v>
      </c>
      <c r="F20" s="77" t="s">
        <v>795</v>
      </c>
    </row>
    <row r="21" customFormat="false" ht="14.25" hidden="false" customHeight="false" outlineLevel="0" collapsed="false">
      <c r="A21" s="77" t="n">
        <v>20</v>
      </c>
      <c r="B21" s="82" t="n">
        <v>45441</v>
      </c>
      <c r="C21" s="77" t="s">
        <v>612</v>
      </c>
      <c r="D21" s="83" t="n">
        <v>21835</v>
      </c>
      <c r="E21" s="77" t="s">
        <v>610</v>
      </c>
      <c r="F21" s="77" t="s">
        <v>796</v>
      </c>
    </row>
    <row r="22" customFormat="false" ht="14.25" hidden="false" customHeight="false" outlineLevel="0" collapsed="false">
      <c r="A22" s="77" t="n">
        <v>21</v>
      </c>
      <c r="B22" s="82" t="n">
        <v>45441</v>
      </c>
      <c r="C22" s="77" t="s">
        <v>500</v>
      </c>
      <c r="D22" s="83" t="n">
        <f aca="false">SUMIF('Order Tracker'!G26:G124,C22,'Order Tracker'!L26:L1010)</f>
        <v>135386.4</v>
      </c>
      <c r="E22" s="77" t="s">
        <v>610</v>
      </c>
      <c r="F22" s="77" t="s">
        <v>796</v>
      </c>
    </row>
    <row r="23" customFormat="false" ht="14.25" hidden="false" customHeight="false" outlineLevel="0" collapsed="false">
      <c r="A23" s="77" t="n">
        <v>22</v>
      </c>
      <c r="B23" s="82" t="n">
        <v>45441</v>
      </c>
      <c r="C23" s="77" t="s">
        <v>102</v>
      </c>
      <c r="D23" s="83" t="n">
        <f aca="false">SUMIF('Order Tracker'!G27:G125,C23,'Order Tracker'!L27:L1011)</f>
        <v>12735.516</v>
      </c>
      <c r="E23" s="77" t="s">
        <v>610</v>
      </c>
      <c r="F23" s="77" t="s">
        <v>796</v>
      </c>
    </row>
    <row r="24" customFormat="false" ht="14.25" hidden="false" customHeight="false" outlineLevel="0" collapsed="false">
      <c r="A24" s="77" t="n">
        <v>23</v>
      </c>
      <c r="B24" s="82" t="n">
        <v>45444</v>
      </c>
      <c r="C24" s="77" t="s">
        <v>98</v>
      </c>
      <c r="D24" s="83" t="n">
        <f aca="false">SUMIF('Order Tracker'!G28:G125,C24,'Order Tracker'!L28:L1012)</f>
        <v>11789.12</v>
      </c>
      <c r="E24" s="77" t="s">
        <v>610</v>
      </c>
      <c r="F24" s="77" t="s">
        <v>789</v>
      </c>
    </row>
    <row r="25" customFormat="false" ht="14.25" hidden="false" customHeight="false" outlineLevel="0" collapsed="false">
      <c r="A25" s="77" t="n">
        <v>24</v>
      </c>
      <c r="B25" s="82" t="n">
        <v>45447</v>
      </c>
      <c r="C25" s="77" t="s">
        <v>455</v>
      </c>
      <c r="D25" s="83" t="n">
        <f aca="false">SUMIF('Order Tracker'!G28:G125,C25,'Order Tracker'!L28:L1012)</f>
        <v>657039.02</v>
      </c>
      <c r="E25" s="77" t="s">
        <v>610</v>
      </c>
      <c r="F25" s="77" t="s">
        <v>792</v>
      </c>
    </row>
    <row r="26" customFormat="false" ht="14.25" hidden="false" customHeight="false" outlineLevel="0" collapsed="false">
      <c r="A26" s="77" t="n">
        <v>25</v>
      </c>
      <c r="B26" s="82" t="n">
        <v>45447</v>
      </c>
      <c r="C26" s="77" t="s">
        <v>70</v>
      </c>
      <c r="D26" s="83" t="n">
        <f aca="false">SUMIF('Order Tracker'!G29:G125,C26,'Order Tracker'!L29:L1013)</f>
        <v>47565.743</v>
      </c>
      <c r="E26" s="77" t="s">
        <v>610</v>
      </c>
      <c r="F26" s="77" t="s">
        <v>792</v>
      </c>
    </row>
    <row r="27" customFormat="false" ht="14.25" hidden="false" customHeight="false" outlineLevel="0" collapsed="false">
      <c r="A27" s="77" t="n">
        <v>26</v>
      </c>
      <c r="B27" s="82" t="n">
        <v>45454</v>
      </c>
      <c r="C27" s="77" t="s">
        <v>455</v>
      </c>
      <c r="D27" s="83" t="n">
        <v>5134.52</v>
      </c>
      <c r="E27" s="77" t="s">
        <v>610</v>
      </c>
      <c r="F27" s="77" t="s">
        <v>792</v>
      </c>
    </row>
    <row r="28" customFormat="false" ht="14.25" hidden="false" customHeight="false" outlineLevel="0" collapsed="false">
      <c r="A28" s="77" t="n">
        <v>27</v>
      </c>
      <c r="B28" s="82" t="n">
        <v>45454</v>
      </c>
      <c r="C28" s="77" t="s">
        <v>612</v>
      </c>
      <c r="D28" s="28" t="n">
        <v>104250</v>
      </c>
      <c r="E28" s="77" t="s">
        <v>610</v>
      </c>
      <c r="F28" s="77" t="s">
        <v>792</v>
      </c>
    </row>
    <row r="29" customFormat="false" ht="14.25" hidden="false" customHeight="false" outlineLevel="0" collapsed="false">
      <c r="A29" s="77" t="n">
        <v>28</v>
      </c>
      <c r="B29" s="82" t="n">
        <v>45454</v>
      </c>
      <c r="C29" s="77" t="s">
        <v>485</v>
      </c>
      <c r="D29" s="28" t="n">
        <v>18738.4</v>
      </c>
      <c r="E29" s="77" t="s">
        <v>765</v>
      </c>
      <c r="F29" s="77" t="s">
        <v>797</v>
      </c>
    </row>
    <row r="30" customFormat="false" ht="14.25" hidden="false" customHeight="false" outlineLevel="0" collapsed="false">
      <c r="A30" s="77" t="n">
        <v>29</v>
      </c>
      <c r="B30" s="82" t="n">
        <v>45464</v>
      </c>
      <c r="C30" s="77" t="s">
        <v>619</v>
      </c>
      <c r="D30" s="83" t="n">
        <v>9204</v>
      </c>
      <c r="E30" s="77" t="s">
        <v>610</v>
      </c>
      <c r="F30" s="77" t="s">
        <v>793</v>
      </c>
    </row>
    <row r="31" customFormat="false" ht="14.25" hidden="false" customHeight="false" outlineLevel="0" collapsed="false">
      <c r="A31" s="77" t="n">
        <v>30</v>
      </c>
      <c r="B31" s="82" t="n">
        <v>45464</v>
      </c>
      <c r="C31" s="77" t="s">
        <v>70</v>
      </c>
      <c r="D31" s="83" t="n">
        <v>32719</v>
      </c>
      <c r="E31" s="77" t="s">
        <v>610</v>
      </c>
      <c r="F31" s="77" t="s">
        <v>798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8.18"/>
    <col collapsed="false" customWidth="true" hidden="false" outlineLevel="0" max="2" min="2" style="1" width="52"/>
  </cols>
  <sheetData>
    <row r="1" customFormat="false" ht="14.25" hidden="false" customHeight="false" outlineLevel="0" collapsed="false">
      <c r="A1" s="84" t="s">
        <v>799</v>
      </c>
      <c r="B1" s="84" t="s">
        <v>800</v>
      </c>
    </row>
    <row r="2" customFormat="false" ht="14.25" hidden="false" customHeight="false" outlineLevel="0" collapsed="false">
      <c r="A2" s="25" t="s">
        <v>67</v>
      </c>
      <c r="B2" s="25" t="s">
        <v>801</v>
      </c>
    </row>
    <row r="3" customFormat="false" ht="14.25" hidden="false" customHeight="false" outlineLevel="0" collapsed="false">
      <c r="A3" s="25" t="s">
        <v>25</v>
      </c>
      <c r="B3" s="25" t="s">
        <v>802</v>
      </c>
    </row>
    <row r="4" customFormat="false" ht="14.25" hidden="false" customHeight="false" outlineLevel="0" collapsed="false">
      <c r="A4" s="25" t="s">
        <v>803</v>
      </c>
      <c r="B4" s="25" t="s">
        <v>804</v>
      </c>
    </row>
    <row r="5" customFormat="false" ht="14.25" hidden="false" customHeight="false" outlineLevel="0" collapsed="false">
      <c r="A5" s="25" t="s">
        <v>805</v>
      </c>
      <c r="B5" s="25" t="s">
        <v>806</v>
      </c>
    </row>
    <row r="6" customFormat="false" ht="14.25" hidden="false" customHeight="false" outlineLevel="0" collapsed="false">
      <c r="A6" s="25" t="s">
        <v>14</v>
      </c>
      <c r="B6" s="25" t="s">
        <v>807</v>
      </c>
    </row>
    <row r="7" customFormat="false" ht="14.25" hidden="false" customHeight="false" outlineLevel="0" collapsed="false">
      <c r="A7" s="25" t="s">
        <v>808</v>
      </c>
      <c r="B7" s="25" t="s">
        <v>809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5.54"/>
    <col collapsed="false" customWidth="true" hidden="false" outlineLevel="0" max="2" min="2" style="1" width="11.54"/>
    <col collapsed="false" customWidth="true" hidden="false" outlineLevel="0" max="3" min="3" style="1" width="8"/>
    <col collapsed="false" customWidth="true" hidden="false" outlineLevel="0" max="4" min="4" style="1" width="14.73"/>
    <col collapsed="false" customWidth="true" hidden="false" outlineLevel="0" max="5" min="5" style="1" width="34.73"/>
    <col collapsed="false" customWidth="true" hidden="false" outlineLevel="0" max="6" min="6" style="1" width="14.27"/>
    <col collapsed="false" customWidth="true" hidden="false" outlineLevel="0" max="7" min="7" style="1" width="13.18"/>
    <col collapsed="false" customWidth="true" hidden="false" outlineLevel="0" max="8" min="8" style="1" width="14.45"/>
    <col collapsed="false" customWidth="true" hidden="false" outlineLevel="0" max="9" min="9" style="1" width="25"/>
    <col collapsed="false" customWidth="true" hidden="false" outlineLevel="0" max="10" min="10" style="1" width="14.18"/>
    <col collapsed="false" customWidth="true" hidden="false" outlineLevel="0" max="11" min="11" style="1" width="14.73"/>
  </cols>
  <sheetData>
    <row r="1" customFormat="false" ht="15" hidden="false" customHeight="false" outlineLevel="0" collapsed="false">
      <c r="A1" s="2" t="s">
        <v>592</v>
      </c>
      <c r="B1" s="2" t="s">
        <v>593</v>
      </c>
      <c r="C1" s="2" t="s">
        <v>603</v>
      </c>
      <c r="D1" s="2" t="s">
        <v>786</v>
      </c>
      <c r="E1" s="2" t="s">
        <v>810</v>
      </c>
      <c r="F1" s="2" t="s">
        <v>811</v>
      </c>
      <c r="G1" s="2" t="s">
        <v>812</v>
      </c>
      <c r="H1" s="2" t="s">
        <v>813</v>
      </c>
      <c r="I1" s="2" t="s">
        <v>814</v>
      </c>
      <c r="J1" s="2" t="s">
        <v>815</v>
      </c>
      <c r="K1" s="2" t="s">
        <v>816</v>
      </c>
    </row>
    <row r="2" customFormat="false" ht="15" hidden="false" customHeight="false" outlineLevel="0" collapsed="false">
      <c r="A2" s="17" t="n">
        <v>1</v>
      </c>
      <c r="B2" s="15" t="n">
        <v>45490</v>
      </c>
      <c r="C2" s="17" t="s">
        <v>697</v>
      </c>
      <c r="D2" s="17" t="s">
        <v>817</v>
      </c>
      <c r="E2" s="17" t="s">
        <v>818</v>
      </c>
      <c r="F2" s="17" t="s">
        <v>819</v>
      </c>
      <c r="G2" s="85" t="n">
        <v>0.895833333333333</v>
      </c>
      <c r="H2" s="17" t="s">
        <v>820</v>
      </c>
      <c r="I2" s="17" t="s">
        <v>821</v>
      </c>
      <c r="J2" s="17" t="s">
        <v>822</v>
      </c>
      <c r="K2" s="86" t="n">
        <v>6960</v>
      </c>
    </row>
    <row r="3" customFormat="false" ht="15" hidden="false" customHeight="false" outlineLevel="0" collapsed="false">
      <c r="A3" s="17" t="n">
        <v>2</v>
      </c>
      <c r="B3" s="15" t="n">
        <v>45491</v>
      </c>
      <c r="C3" s="17" t="s">
        <v>719</v>
      </c>
      <c r="D3" s="17" t="s">
        <v>823</v>
      </c>
      <c r="E3" s="17" t="s">
        <v>824</v>
      </c>
      <c r="F3" s="17" t="s">
        <v>825</v>
      </c>
      <c r="G3" s="17" t="s">
        <v>826</v>
      </c>
      <c r="H3" s="17" t="s">
        <v>827</v>
      </c>
      <c r="I3" s="17" t="s">
        <v>828</v>
      </c>
      <c r="J3" s="17" t="s">
        <v>829</v>
      </c>
      <c r="K3" s="86" t="n">
        <v>4200</v>
      </c>
    </row>
    <row r="4" customFormat="false" ht="15" hidden="false" customHeight="false" outlineLevel="0" collapsed="false">
      <c r="A4" s="17" t="n">
        <v>3</v>
      </c>
      <c r="B4" s="15" t="n">
        <v>45491</v>
      </c>
      <c r="C4" s="17" t="s">
        <v>719</v>
      </c>
      <c r="D4" s="17" t="s">
        <v>823</v>
      </c>
      <c r="E4" s="17" t="s">
        <v>824</v>
      </c>
      <c r="F4" s="17" t="s">
        <v>825</v>
      </c>
      <c r="G4" s="17" t="s">
        <v>826</v>
      </c>
      <c r="H4" s="17" t="s">
        <v>830</v>
      </c>
      <c r="I4" s="17" t="s">
        <v>831</v>
      </c>
      <c r="J4" s="17" t="s">
        <v>829</v>
      </c>
      <c r="K4" s="87" t="n">
        <v>2250</v>
      </c>
    </row>
    <row r="5" customFormat="false" ht="15" hidden="false" customHeight="false" outlineLevel="0" collapsed="false">
      <c r="A5" s="17" t="n">
        <v>4</v>
      </c>
      <c r="B5" s="15" t="n">
        <v>45493</v>
      </c>
      <c r="C5" s="17" t="s">
        <v>719</v>
      </c>
      <c r="D5" s="17" t="s">
        <v>823</v>
      </c>
      <c r="E5" s="17" t="s">
        <v>824</v>
      </c>
      <c r="F5" s="17" t="s">
        <v>819</v>
      </c>
      <c r="G5" s="85" t="s">
        <v>832</v>
      </c>
      <c r="H5" s="17" t="s">
        <v>827</v>
      </c>
      <c r="I5" s="17" t="s">
        <v>828</v>
      </c>
      <c r="J5" s="17" t="s">
        <v>829</v>
      </c>
      <c r="K5" s="86" t="n">
        <v>4200</v>
      </c>
    </row>
    <row r="6" customFormat="false" ht="15" hidden="false" customHeight="false" outlineLevel="0" collapsed="false">
      <c r="A6" s="17" t="n">
        <v>5</v>
      </c>
      <c r="B6" s="15" t="n">
        <v>45493</v>
      </c>
      <c r="C6" s="17" t="s">
        <v>719</v>
      </c>
      <c r="D6" s="17" t="s">
        <v>823</v>
      </c>
      <c r="E6" s="17" t="s">
        <v>824</v>
      </c>
      <c r="F6" s="17" t="s">
        <v>819</v>
      </c>
      <c r="G6" s="85" t="s">
        <v>832</v>
      </c>
      <c r="H6" s="17" t="s">
        <v>833</v>
      </c>
      <c r="I6" s="17" t="s">
        <v>834</v>
      </c>
      <c r="J6" s="17" t="s">
        <v>829</v>
      </c>
      <c r="K6" s="86" t="n">
        <v>2750</v>
      </c>
    </row>
    <row r="7" customFormat="false" ht="15" hidden="false" customHeight="false" outlineLevel="0" collapsed="false">
      <c r="A7" s="17" t="n">
        <v>6</v>
      </c>
      <c r="B7" s="15" t="n">
        <v>45493</v>
      </c>
      <c r="C7" s="17" t="s">
        <v>719</v>
      </c>
      <c r="D7" s="17" t="s">
        <v>823</v>
      </c>
      <c r="E7" s="17" t="s">
        <v>835</v>
      </c>
      <c r="F7" s="17" t="s">
        <v>836</v>
      </c>
      <c r="G7" s="85" t="s">
        <v>832</v>
      </c>
      <c r="H7" s="17" t="s">
        <v>837</v>
      </c>
      <c r="I7" s="17" t="s">
        <v>838</v>
      </c>
      <c r="J7" s="17" t="s">
        <v>829</v>
      </c>
      <c r="K7" s="86" t="n">
        <v>3180</v>
      </c>
    </row>
    <row r="8" customFormat="false" ht="15" hidden="false" customHeight="false" outlineLevel="0" collapsed="false">
      <c r="A8" s="17" t="n">
        <v>7</v>
      </c>
      <c r="B8" s="15" t="n">
        <v>45496</v>
      </c>
      <c r="C8" s="17" t="s">
        <v>697</v>
      </c>
      <c r="D8" s="17" t="s">
        <v>817</v>
      </c>
      <c r="E8" s="17" t="s">
        <v>839</v>
      </c>
      <c r="F8" s="17" t="s">
        <v>840</v>
      </c>
      <c r="G8" s="85" t="s">
        <v>841</v>
      </c>
      <c r="H8" s="17" t="s">
        <v>842</v>
      </c>
      <c r="I8" s="17" t="s">
        <v>843</v>
      </c>
      <c r="J8" s="17" t="s">
        <v>822</v>
      </c>
      <c r="K8" s="86" t="n">
        <v>6850</v>
      </c>
    </row>
    <row r="9" customFormat="false" ht="15" hidden="false" customHeight="false" outlineLevel="0" collapsed="false">
      <c r="A9" s="17" t="n">
        <v>8</v>
      </c>
      <c r="B9" s="15" t="n">
        <v>45497</v>
      </c>
      <c r="C9" s="17" t="s">
        <v>719</v>
      </c>
      <c r="D9" s="17" t="s">
        <v>844</v>
      </c>
      <c r="E9" s="17" t="s">
        <v>845</v>
      </c>
      <c r="F9" s="17" t="s">
        <v>846</v>
      </c>
      <c r="G9" s="85" t="s">
        <v>847</v>
      </c>
      <c r="H9" s="17" t="s">
        <v>848</v>
      </c>
      <c r="I9" s="17" t="s">
        <v>849</v>
      </c>
      <c r="J9" s="17" t="s">
        <v>829</v>
      </c>
      <c r="K9" s="86" t="n">
        <v>2450</v>
      </c>
    </row>
    <row r="10" customFormat="false" ht="15" hidden="false" customHeight="false" outlineLevel="0" collapsed="false">
      <c r="A10" s="17" t="n">
        <v>9</v>
      </c>
      <c r="B10" s="15" t="n">
        <v>45497</v>
      </c>
      <c r="C10" s="17" t="s">
        <v>719</v>
      </c>
      <c r="D10" s="17" t="s">
        <v>823</v>
      </c>
      <c r="E10" s="17" t="s">
        <v>824</v>
      </c>
      <c r="F10" s="17" t="s">
        <v>819</v>
      </c>
      <c r="G10" s="85" t="s">
        <v>832</v>
      </c>
      <c r="H10" s="17" t="s">
        <v>827</v>
      </c>
      <c r="I10" s="17" t="s">
        <v>828</v>
      </c>
      <c r="J10" s="17" t="s">
        <v>829</v>
      </c>
      <c r="K10" s="86" t="n">
        <v>4200</v>
      </c>
    </row>
    <row r="11" customFormat="false" ht="15" hidden="false" customHeight="false" outlineLevel="0" collapsed="false">
      <c r="A11" s="17" t="n">
        <v>10</v>
      </c>
      <c r="B11" s="15" t="n">
        <v>45500</v>
      </c>
      <c r="C11" s="17" t="s">
        <v>719</v>
      </c>
      <c r="D11" s="17" t="s">
        <v>823</v>
      </c>
      <c r="E11" s="17" t="s">
        <v>850</v>
      </c>
      <c r="F11" s="17" t="s">
        <v>819</v>
      </c>
      <c r="G11" s="85" t="s">
        <v>851</v>
      </c>
      <c r="H11" s="17" t="s">
        <v>852</v>
      </c>
      <c r="I11" s="17" t="s">
        <v>853</v>
      </c>
      <c r="J11" s="17" t="s">
        <v>829</v>
      </c>
      <c r="K11" s="86" t="n">
        <v>4550</v>
      </c>
    </row>
    <row r="12" customFormat="false" ht="15" hidden="false" customHeight="false" outlineLevel="0" collapsed="false">
      <c r="A12" s="17" t="n">
        <v>11</v>
      </c>
      <c r="B12" s="15" t="n">
        <v>45500</v>
      </c>
      <c r="C12" s="17" t="s">
        <v>719</v>
      </c>
      <c r="D12" s="17" t="s">
        <v>823</v>
      </c>
      <c r="E12" s="17" t="s">
        <v>850</v>
      </c>
      <c r="F12" s="17" t="s">
        <v>819</v>
      </c>
      <c r="G12" s="85" t="s">
        <v>851</v>
      </c>
      <c r="H12" s="17" t="s">
        <v>827</v>
      </c>
      <c r="I12" s="17" t="s">
        <v>828</v>
      </c>
      <c r="J12" s="17" t="s">
        <v>829</v>
      </c>
      <c r="K12" s="86" t="n">
        <v>4200</v>
      </c>
    </row>
    <row r="13" customFormat="false" ht="15" hidden="false" customHeight="false" outlineLevel="0" collapsed="false">
      <c r="A13" s="17" t="n">
        <v>12</v>
      </c>
      <c r="B13" s="15" t="n">
        <v>45504</v>
      </c>
      <c r="C13" s="17" t="s">
        <v>854</v>
      </c>
      <c r="D13" s="17" t="s">
        <v>844</v>
      </c>
      <c r="E13" s="17" t="s">
        <v>855</v>
      </c>
      <c r="F13" s="85" t="n">
        <v>0.270833333333333</v>
      </c>
      <c r="G13" s="85" t="s">
        <v>856</v>
      </c>
      <c r="H13" s="17" t="s">
        <v>833</v>
      </c>
      <c r="I13" s="17" t="s">
        <v>834</v>
      </c>
      <c r="J13" s="17" t="s">
        <v>829</v>
      </c>
      <c r="K13" s="86" t="n">
        <v>2750</v>
      </c>
    </row>
    <row r="14" customFormat="false" ht="15" hidden="false" customHeight="false" outlineLevel="0" collapsed="false">
      <c r="A14" s="17" t="n">
        <v>13</v>
      </c>
      <c r="B14" s="15" t="n">
        <v>45504</v>
      </c>
      <c r="C14" s="17" t="s">
        <v>854</v>
      </c>
      <c r="D14" s="17" t="s">
        <v>844</v>
      </c>
      <c r="E14" s="17" t="s">
        <v>855</v>
      </c>
      <c r="F14" s="85" t="n">
        <v>0.270833333333333</v>
      </c>
      <c r="G14" s="85" t="s">
        <v>856</v>
      </c>
      <c r="H14" s="17" t="s">
        <v>827</v>
      </c>
      <c r="I14" s="17" t="s">
        <v>828</v>
      </c>
      <c r="J14" s="17" t="s">
        <v>829</v>
      </c>
      <c r="K14" s="86" t="n">
        <v>4200</v>
      </c>
    </row>
    <row r="15" customFormat="false" ht="15" hidden="false" customHeight="false" outlineLevel="0" collapsed="false">
      <c r="A15" s="17" t="n">
        <v>14</v>
      </c>
      <c r="B15" s="15" t="n">
        <v>45507</v>
      </c>
      <c r="C15" s="17" t="s">
        <v>697</v>
      </c>
      <c r="D15" s="17" t="s">
        <v>817</v>
      </c>
      <c r="E15" s="17" t="s">
        <v>857</v>
      </c>
      <c r="F15" s="85" t="s">
        <v>858</v>
      </c>
      <c r="G15" s="85" t="s">
        <v>859</v>
      </c>
      <c r="H15" s="17" t="s">
        <v>860</v>
      </c>
      <c r="I15" s="17" t="s">
        <v>861</v>
      </c>
      <c r="J15" s="17" t="s">
        <v>822</v>
      </c>
      <c r="K15" s="86" t="n">
        <v>6910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7"/>
  <sheetViews>
    <sheetView showFormulas="false" showGridLines="true" showRowColHeaders="true" showZeros="true" rightToLeft="false" tabSelected="true" showOutlineSymbols="true" defaultGridColor="true" view="normal" topLeftCell="A99" colorId="64" zoomScale="100" zoomScaleNormal="100" zoomScalePageLayoutView="100" workbookViewId="0">
      <selection pane="topLeft" activeCell="K119" activeCellId="0" sqref="K119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765</v>
      </c>
      <c r="C1" s="1" t="s">
        <v>862</v>
      </c>
      <c r="E1" s="4"/>
    </row>
    <row r="2" customFormat="false" ht="15" hidden="false" customHeight="false" outlineLevel="0" collapsed="false">
      <c r="A2" s="1" t="s">
        <v>863</v>
      </c>
      <c r="B2" s="1" t="s">
        <v>596</v>
      </c>
      <c r="C2" s="1" t="s">
        <v>863</v>
      </c>
      <c r="D2" s="1" t="s">
        <v>596</v>
      </c>
      <c r="E2" s="4"/>
    </row>
    <row r="3" customFormat="false" ht="15" hidden="false" customHeight="false" outlineLevel="0" collapsed="false">
      <c r="E3" s="4"/>
    </row>
    <row r="4" customFormat="false" ht="15" hidden="false" customHeight="false" outlineLevel="0" collapsed="false">
      <c r="E4" s="4"/>
    </row>
    <row r="5" customFormat="false" ht="15" hidden="false" customHeight="false" outlineLevel="0" collapsed="false">
      <c r="E5" s="4"/>
    </row>
    <row r="6" customFormat="false" ht="15" hidden="false" customHeight="false" outlineLevel="0" collapsed="false">
      <c r="E6" s="4"/>
    </row>
    <row r="7" customFormat="false" ht="15" hidden="false" customHeight="false" outlineLevel="0" collapsed="false">
      <c r="E7" s="4"/>
    </row>
    <row r="8" customFormat="false" ht="15" hidden="false" customHeight="false" outlineLevel="0" collapsed="false">
      <c r="E8" s="4"/>
    </row>
    <row r="9" customFormat="false" ht="15" hidden="false" customHeight="false" outlineLevel="0" collapsed="false">
      <c r="E9" s="4"/>
    </row>
    <row r="10" customFormat="false" ht="13.8" hidden="false" customHeight="false" outlineLevel="0" collapsed="false">
      <c r="E10" s="9"/>
    </row>
    <row r="11" customFormat="false" ht="13.8" hidden="false" customHeight="false" outlineLevel="0" collapsed="false">
      <c r="E11" s="9"/>
    </row>
    <row r="12" customFormat="false" ht="13.8" hidden="false" customHeight="false" outlineLevel="0" collapsed="false">
      <c r="E12" s="9"/>
    </row>
    <row r="13" customFormat="false" ht="13.8" hidden="false" customHeight="false" outlineLevel="0" collapsed="false">
      <c r="E13" s="9"/>
    </row>
    <row r="14" customFormat="false" ht="13.8" hidden="false" customHeight="false" outlineLevel="0" collapsed="false">
      <c r="E14" s="9"/>
    </row>
    <row r="15" customFormat="false" ht="13.8" hidden="false" customHeight="false" outlineLevel="0" collapsed="false">
      <c r="E15" s="9"/>
    </row>
    <row r="16" customFormat="false" ht="13.8" hidden="false" customHeight="false" outlineLevel="0" collapsed="false">
      <c r="E16" s="9"/>
    </row>
    <row r="17" customFormat="false" ht="13.8" hidden="false" customHeight="false" outlineLevel="0" collapsed="false">
      <c r="E17" s="9"/>
    </row>
    <row r="18" customFormat="false" ht="13.8" hidden="false" customHeight="false" outlineLevel="0" collapsed="false">
      <c r="E18" s="9"/>
    </row>
    <row r="19" customFormat="false" ht="13.8" hidden="false" customHeight="false" outlineLevel="0" collapsed="false">
      <c r="E19" s="9"/>
    </row>
    <row r="20" customFormat="false" ht="13.8" hidden="false" customHeight="false" outlineLevel="0" collapsed="false">
      <c r="E20" s="9"/>
    </row>
    <row r="21" customFormat="false" ht="13.8" hidden="false" customHeight="false" outlineLevel="0" collapsed="false">
      <c r="E21" s="9"/>
    </row>
    <row r="22" customFormat="false" ht="13.8" hidden="false" customHeight="false" outlineLevel="0" collapsed="false">
      <c r="E22" s="9"/>
    </row>
    <row r="23" customFormat="false" ht="13.8" hidden="false" customHeight="false" outlineLevel="0" collapsed="false">
      <c r="E23" s="9"/>
    </row>
    <row r="24" customFormat="false" ht="13.8" hidden="false" customHeight="false" outlineLevel="0" collapsed="false">
      <c r="E24" s="9"/>
    </row>
    <row r="25" customFormat="false" ht="13.8" hidden="false" customHeight="false" outlineLevel="0" collapsed="false">
      <c r="E25" s="9"/>
    </row>
    <row r="26" customFormat="false" ht="13.8" hidden="false" customHeight="false" outlineLevel="0" collapsed="false">
      <c r="E26" s="9"/>
    </row>
    <row r="27" customFormat="false" ht="13.8" hidden="false" customHeight="false" outlineLevel="0" collapsed="false">
      <c r="E27" s="9"/>
    </row>
    <row r="28" customFormat="false" ht="13.8" hidden="false" customHeight="false" outlineLevel="0" collapsed="false">
      <c r="E28" s="9"/>
    </row>
    <row r="29" customFormat="false" ht="13.8" hidden="false" customHeight="false" outlineLevel="0" collapsed="false">
      <c r="E29" s="9"/>
    </row>
    <row r="30" customFormat="false" ht="13.8" hidden="false" customHeight="false" outlineLevel="0" collapsed="false">
      <c r="E30" s="9"/>
    </row>
    <row r="31" customFormat="false" ht="13.8" hidden="false" customHeight="false" outlineLevel="0" collapsed="false">
      <c r="E31" s="9"/>
    </row>
    <row r="32" customFormat="false" ht="13.8" hidden="false" customHeight="false" outlineLevel="0" collapsed="false">
      <c r="E32" s="9"/>
    </row>
    <row r="33" customFormat="false" ht="13.8" hidden="false" customHeight="false" outlineLevel="0" collapsed="false">
      <c r="E33" s="9"/>
    </row>
    <row r="34" customFormat="false" ht="13.8" hidden="false" customHeight="false" outlineLevel="0" collapsed="false">
      <c r="E34" s="9"/>
    </row>
    <row r="35" customFormat="false" ht="13.8" hidden="false" customHeight="false" outlineLevel="0" collapsed="false">
      <c r="E35" s="9"/>
    </row>
    <row r="36" customFormat="false" ht="13.8" hidden="false" customHeight="false" outlineLevel="0" collapsed="false">
      <c r="E36" s="9"/>
    </row>
    <row r="37" customFormat="false" ht="13.8" hidden="false" customHeight="false" outlineLevel="0" collapsed="false">
      <c r="E37" s="9"/>
    </row>
    <row r="38" customFormat="false" ht="13.8" hidden="false" customHeight="false" outlineLevel="0" collapsed="false">
      <c r="E38" s="9"/>
    </row>
    <row r="39" customFormat="false" ht="13.8" hidden="false" customHeight="false" outlineLevel="0" collapsed="false">
      <c r="E39" s="9"/>
    </row>
    <row r="40" customFormat="false" ht="13.8" hidden="false" customHeight="false" outlineLevel="0" collapsed="false">
      <c r="E40" s="9"/>
    </row>
    <row r="41" customFormat="false" ht="13.8" hidden="false" customHeight="false" outlineLevel="0" collapsed="false">
      <c r="E41" s="9"/>
    </row>
    <row r="42" customFormat="false" ht="13.8" hidden="false" customHeight="false" outlineLevel="0" collapsed="false">
      <c r="E42" s="9"/>
    </row>
    <row r="43" customFormat="false" ht="13.8" hidden="false" customHeight="false" outlineLevel="0" collapsed="false">
      <c r="E43" s="9"/>
    </row>
    <row r="44" customFormat="false" ht="13.8" hidden="false" customHeight="false" outlineLevel="0" collapsed="false">
      <c r="E44" s="9"/>
    </row>
    <row r="45" customFormat="false" ht="13.8" hidden="false" customHeight="false" outlineLevel="0" collapsed="false">
      <c r="E45" s="9"/>
    </row>
    <row r="46" customFormat="false" ht="13.8" hidden="false" customHeight="false" outlineLevel="0" collapsed="false">
      <c r="E46" s="9"/>
    </row>
    <row r="47" customFormat="false" ht="13.8" hidden="false" customHeight="false" outlineLevel="0" collapsed="false">
      <c r="E47" s="9"/>
    </row>
    <row r="48" customFormat="false" ht="15" hidden="false" customHeight="false" outlineLevel="0" collapsed="false">
      <c r="E48" s="4"/>
    </row>
    <row r="49" customFormat="false" ht="15" hidden="false" customHeight="false" outlineLevel="0" collapsed="false">
      <c r="E49" s="4"/>
    </row>
    <row r="50" customFormat="false" ht="15" hidden="false" customHeight="false" outlineLevel="0" collapsed="false">
      <c r="E50" s="4"/>
    </row>
    <row r="51" customFormat="false" ht="15" hidden="false" customHeight="false" outlineLevel="0" collapsed="false">
      <c r="E51" s="4"/>
    </row>
    <row r="52" customFormat="false" ht="15" hidden="false" customHeight="false" outlineLevel="0" collapsed="false">
      <c r="E52" s="4"/>
    </row>
    <row r="53" customFormat="false" ht="15" hidden="false" customHeight="false" outlineLevel="0" collapsed="false">
      <c r="E53" s="4"/>
    </row>
    <row r="54" customFormat="false" ht="15" hidden="false" customHeight="false" outlineLevel="0" collapsed="false">
      <c r="E54" s="4"/>
    </row>
    <row r="55" customFormat="false" ht="15" hidden="false" customHeight="false" outlineLevel="0" collapsed="false">
      <c r="E55" s="4"/>
    </row>
    <row r="56" customFormat="false" ht="15" hidden="false" customHeight="false" outlineLevel="0" collapsed="false">
      <c r="E56" s="4"/>
    </row>
    <row r="57" customFormat="false" ht="15" hidden="false" customHeight="false" outlineLevel="0" collapsed="false">
      <c r="E57" s="4"/>
    </row>
    <row r="58" customFormat="false" ht="15" hidden="false" customHeight="false" outlineLevel="0" collapsed="false">
      <c r="E58" s="4"/>
    </row>
    <row r="59" customFormat="false" ht="15" hidden="false" customHeight="false" outlineLevel="0" collapsed="false">
      <c r="E59" s="4"/>
    </row>
    <row r="60" customFormat="false" ht="15" hidden="false" customHeight="false" outlineLevel="0" collapsed="false">
      <c r="E60" s="4"/>
    </row>
    <row r="61" customFormat="false" ht="15" hidden="false" customHeight="false" outlineLevel="0" collapsed="false">
      <c r="E61" s="4"/>
    </row>
    <row r="62" customFormat="false" ht="15" hidden="false" customHeight="false" outlineLevel="0" collapsed="false">
      <c r="E62" s="4"/>
    </row>
    <row r="63" customFormat="false" ht="15" hidden="false" customHeight="false" outlineLevel="0" collapsed="false">
      <c r="E63" s="4"/>
    </row>
    <row r="64" customFormat="false" ht="13.8" hidden="false" customHeight="false" outlineLevel="0" collapsed="false">
      <c r="E64" s="9"/>
    </row>
    <row r="65" customFormat="false" ht="13.8" hidden="false" customHeight="false" outlineLevel="0" collapsed="false">
      <c r="E65" s="9"/>
    </row>
    <row r="66" customFormat="false" ht="13.8" hidden="false" customHeight="false" outlineLevel="0" collapsed="false">
      <c r="E66" s="9"/>
    </row>
    <row r="67" customFormat="false" ht="13.8" hidden="false" customHeight="false" outlineLevel="0" collapsed="false">
      <c r="E67" s="9"/>
    </row>
    <row r="68" customFormat="false" ht="13.8" hidden="false" customHeight="false" outlineLevel="0" collapsed="false">
      <c r="E68" s="9"/>
    </row>
    <row r="69" customFormat="false" ht="13.8" hidden="false" customHeight="false" outlineLevel="0" collapsed="false">
      <c r="E69" s="9"/>
    </row>
    <row r="70" customFormat="false" ht="13.8" hidden="false" customHeight="false" outlineLevel="0" collapsed="false">
      <c r="E70" s="9"/>
    </row>
    <row r="71" customFormat="false" ht="13.8" hidden="false" customHeight="false" outlineLevel="0" collapsed="false">
      <c r="E71" s="9"/>
    </row>
    <row r="72" customFormat="false" ht="13.8" hidden="false" customHeight="false" outlineLevel="0" collapsed="false">
      <c r="E72" s="9"/>
    </row>
    <row r="73" customFormat="false" ht="13.8" hidden="false" customHeight="false" outlineLevel="0" collapsed="false">
      <c r="E73" s="9"/>
    </row>
    <row r="74" customFormat="false" ht="13.8" hidden="false" customHeight="false" outlineLevel="0" collapsed="false">
      <c r="E74" s="9"/>
    </row>
    <row r="75" customFormat="false" ht="13.8" hidden="false" customHeight="false" outlineLevel="0" collapsed="false">
      <c r="E75" s="9"/>
    </row>
    <row r="76" customFormat="false" ht="15" hidden="false" customHeight="false" outlineLevel="0" collapsed="false">
      <c r="E76" s="4"/>
    </row>
    <row r="77" customFormat="false" ht="15" hidden="false" customHeight="false" outlineLevel="0" collapsed="false">
      <c r="E77" s="4"/>
    </row>
    <row r="78" customFormat="false" ht="13.8" hidden="false" customHeight="false" outlineLevel="0" collapsed="false">
      <c r="E78" s="9"/>
    </row>
    <row r="79" customFormat="false" ht="13.8" hidden="false" customHeight="false" outlineLevel="0" collapsed="false">
      <c r="E79" s="9"/>
    </row>
    <row r="80" customFormat="false" ht="13.8" hidden="false" customHeight="false" outlineLevel="0" collapsed="false">
      <c r="E80" s="9"/>
    </row>
    <row r="81" customFormat="false" ht="13.8" hidden="false" customHeight="false" outlineLevel="0" collapsed="false">
      <c r="E81" s="9"/>
    </row>
    <row r="82" customFormat="false" ht="13.8" hidden="false" customHeight="false" outlineLevel="0" collapsed="false">
      <c r="E82" s="9"/>
    </row>
    <row r="83" customFormat="false" ht="13.8" hidden="false" customHeight="false" outlineLevel="0" collapsed="false">
      <c r="E83" s="9"/>
    </row>
    <row r="84" customFormat="false" ht="13.8" hidden="false" customHeight="false" outlineLevel="0" collapsed="false">
      <c r="E84" s="9"/>
    </row>
    <row r="85" customFormat="false" ht="13.8" hidden="false" customHeight="false" outlineLevel="0" collapsed="false">
      <c r="E85" s="9"/>
    </row>
    <row r="86" customFormat="false" ht="13.8" hidden="false" customHeight="false" outlineLevel="0" collapsed="false">
      <c r="E86" s="9"/>
    </row>
    <row r="87" customFormat="false" ht="13.8" hidden="false" customHeight="false" outlineLevel="0" collapsed="false">
      <c r="E87" s="9"/>
    </row>
    <row r="88" customFormat="false" ht="13.8" hidden="false" customHeight="false" outlineLevel="0" collapsed="false">
      <c r="E88" s="9"/>
    </row>
    <row r="89" customFormat="false" ht="13.8" hidden="false" customHeight="false" outlineLevel="0" collapsed="false">
      <c r="E89" s="9"/>
    </row>
    <row r="90" customFormat="false" ht="13.8" hidden="false" customHeight="false" outlineLevel="0" collapsed="false">
      <c r="E90" s="9"/>
    </row>
    <row r="91" customFormat="false" ht="13.8" hidden="false" customHeight="false" outlineLevel="0" collapsed="false">
      <c r="E91" s="9"/>
    </row>
    <row r="92" customFormat="false" ht="13.8" hidden="false" customHeight="false" outlineLevel="0" collapsed="false">
      <c r="E92" s="9"/>
    </row>
    <row r="93" customFormat="false" ht="13.8" hidden="false" customHeight="false" outlineLevel="0" collapsed="false">
      <c r="E93" s="9"/>
    </row>
    <row r="94" customFormat="false" ht="13.8" hidden="false" customHeight="false" outlineLevel="0" collapsed="false">
      <c r="E94" s="9"/>
    </row>
    <row r="95" customFormat="false" ht="13.8" hidden="false" customHeight="false" outlineLevel="0" collapsed="false">
      <c r="E95" s="9"/>
    </row>
    <row r="96" customFormat="false" ht="13.8" hidden="false" customHeight="false" outlineLevel="0" collapsed="false">
      <c r="E96" s="9"/>
    </row>
    <row r="97" customFormat="false" ht="13.8" hidden="false" customHeight="false" outlineLevel="0" collapsed="false">
      <c r="E97" s="9"/>
    </row>
    <row r="98" customFormat="false" ht="13.8" hidden="false" customHeight="false" outlineLevel="0" collapsed="false">
      <c r="E98" s="9"/>
    </row>
    <row r="99" customFormat="false" ht="13.8" hidden="false" customHeight="false" outlineLevel="0" collapsed="false">
      <c r="E99" s="9"/>
    </row>
    <row r="100" customFormat="false" ht="13.8" hidden="false" customHeight="false" outlineLevel="0" collapsed="false">
      <c r="E100" s="9"/>
    </row>
    <row r="101" customFormat="false" ht="13.8" hidden="false" customHeight="false" outlineLevel="0" collapsed="false">
      <c r="E101" s="9"/>
    </row>
    <row r="102" customFormat="false" ht="13.8" hidden="false" customHeight="false" outlineLevel="0" collapsed="false">
      <c r="E102" s="9"/>
    </row>
    <row r="103" customFormat="false" ht="13.8" hidden="false" customHeight="false" outlineLevel="0" collapsed="false">
      <c r="E103" s="9"/>
    </row>
    <row r="104" customFormat="false" ht="13.8" hidden="false" customHeight="false" outlineLevel="0" collapsed="false">
      <c r="E104" s="9"/>
    </row>
    <row r="105" customFormat="false" ht="13.8" hidden="false" customHeight="false" outlineLevel="0" collapsed="false">
      <c r="E105" s="9"/>
    </row>
    <row r="106" customFormat="false" ht="13.8" hidden="false" customHeight="false" outlineLevel="0" collapsed="false">
      <c r="E106" s="9"/>
    </row>
    <row r="107" customFormat="false" ht="13.8" hidden="false" customHeight="false" outlineLevel="0" collapsed="false">
      <c r="E107" s="9"/>
    </row>
    <row r="108" customFormat="false" ht="13.8" hidden="false" customHeight="false" outlineLevel="0" collapsed="false">
      <c r="E108" s="9"/>
    </row>
    <row r="109" customFormat="false" ht="13.8" hidden="false" customHeight="false" outlineLevel="0" collapsed="false">
      <c r="E109" s="9"/>
    </row>
    <row r="110" customFormat="false" ht="13.8" hidden="false" customHeight="false" outlineLevel="0" collapsed="false">
      <c r="E110" s="9"/>
      <c r="H110" s="9" t="s">
        <v>19</v>
      </c>
    </row>
    <row r="111" customFormat="false" ht="13.8" hidden="false" customHeight="false" outlineLevel="0" collapsed="false">
      <c r="E111" s="9"/>
      <c r="H111" s="9" t="s">
        <v>104</v>
      </c>
    </row>
    <row r="112" customFormat="false" ht="15" hidden="false" customHeight="false" outlineLevel="0" collapsed="false">
      <c r="E112" s="9"/>
      <c r="H112" s="4" t="s">
        <v>135</v>
      </c>
    </row>
    <row r="113" customFormat="false" ht="15" hidden="false" customHeight="false" outlineLevel="0" collapsed="false">
      <c r="E113" s="9"/>
      <c r="H113" s="4" t="s">
        <v>215</v>
      </c>
    </row>
    <row r="114" customFormat="false" ht="13.8" hidden="false" customHeight="false" outlineLevel="0" collapsed="false">
      <c r="E114" s="9"/>
      <c r="H114" s="9" t="s">
        <v>289</v>
      </c>
    </row>
    <row r="115" customFormat="false" ht="13.8" hidden="false" customHeight="false" outlineLevel="0" collapsed="false">
      <c r="E115" s="9"/>
    </row>
    <row r="116" customFormat="false" ht="13.8" hidden="false" customHeight="false" outlineLevel="0" collapsed="false">
      <c r="E116" s="9"/>
    </row>
    <row r="117" customFormat="false" ht="13.8" hidden="false" customHeight="false" outlineLevel="0" collapsed="false">
      <c r="E117" s="9"/>
    </row>
    <row r="118" customFormat="false" ht="13.8" hidden="false" customHeight="false" outlineLevel="0" collapsed="false">
      <c r="E118" s="9"/>
    </row>
    <row r="119" customFormat="false" ht="13.8" hidden="false" customHeight="false" outlineLevel="0" collapsed="false">
      <c r="E119" s="9"/>
    </row>
    <row r="120" customFormat="false" ht="13.8" hidden="false" customHeight="false" outlineLevel="0" collapsed="false">
      <c r="E120" s="9"/>
    </row>
    <row r="121" customFormat="false" ht="13.8" hidden="false" customHeight="false" outlineLevel="0" collapsed="false">
      <c r="E121" s="9"/>
    </row>
    <row r="122" customFormat="false" ht="13.8" hidden="false" customHeight="false" outlineLevel="0" collapsed="false">
      <c r="E122" s="9"/>
    </row>
    <row r="123" customFormat="false" ht="13.8" hidden="false" customHeight="false" outlineLevel="0" collapsed="false">
      <c r="E123" s="9"/>
    </row>
    <row r="124" customFormat="false" ht="13.8" hidden="false" customHeight="false" outlineLevel="0" collapsed="false">
      <c r="E124" s="9"/>
    </row>
    <row r="125" customFormat="false" ht="13.8" hidden="false" customHeight="false" outlineLevel="0" collapsed="false">
      <c r="E125" s="9"/>
    </row>
    <row r="126" customFormat="false" ht="13.8" hidden="false" customHeight="false" outlineLevel="0" collapsed="false">
      <c r="E126" s="9"/>
    </row>
    <row r="127" customFormat="false" ht="13.8" hidden="false" customHeight="false" outlineLevel="0" collapsed="false">
      <c r="E127" s="9"/>
    </row>
    <row r="128" customFormat="false" ht="13.8" hidden="false" customHeight="false" outlineLevel="0" collapsed="false">
      <c r="E128" s="9"/>
    </row>
    <row r="129" customFormat="false" ht="13.8" hidden="false" customHeight="false" outlineLevel="0" collapsed="false">
      <c r="E129" s="9"/>
    </row>
    <row r="130" customFormat="false" ht="13.8" hidden="false" customHeight="false" outlineLevel="0" collapsed="false">
      <c r="E130" s="9"/>
    </row>
    <row r="131" customFormat="false" ht="13.8" hidden="false" customHeight="false" outlineLevel="0" collapsed="false">
      <c r="E131" s="9"/>
    </row>
    <row r="132" customFormat="false" ht="13.8" hidden="false" customHeight="false" outlineLevel="0" collapsed="false">
      <c r="E132" s="9"/>
    </row>
    <row r="133" customFormat="false" ht="13.8" hidden="false" customHeight="false" outlineLevel="0" collapsed="false">
      <c r="E133" s="9"/>
    </row>
    <row r="134" customFormat="false" ht="13.8" hidden="false" customHeight="false" outlineLevel="0" collapsed="false">
      <c r="E134" s="9"/>
    </row>
    <row r="135" customFormat="false" ht="13.8" hidden="false" customHeight="false" outlineLevel="0" collapsed="false">
      <c r="E135" s="9"/>
    </row>
    <row r="136" customFormat="false" ht="13.8" hidden="false" customHeight="false" outlineLevel="0" collapsed="false">
      <c r="E136" s="9"/>
    </row>
    <row r="137" customFormat="false" ht="13.8" hidden="false" customHeight="false" outlineLevel="0" collapsed="false">
      <c r="E137" s="9"/>
    </row>
    <row r="138" customFormat="false" ht="13.8" hidden="false" customHeight="false" outlineLevel="0" collapsed="false">
      <c r="E138" s="9"/>
    </row>
    <row r="139" customFormat="false" ht="13.8" hidden="false" customHeight="false" outlineLevel="0" collapsed="false">
      <c r="E139" s="9"/>
    </row>
    <row r="140" customFormat="false" ht="13.8" hidden="false" customHeight="false" outlineLevel="0" collapsed="false">
      <c r="E140" s="9"/>
    </row>
    <row r="141" customFormat="false" ht="13.8" hidden="false" customHeight="false" outlineLevel="0" collapsed="false">
      <c r="E141" s="9"/>
    </row>
    <row r="142" customFormat="false" ht="13.8" hidden="false" customHeight="false" outlineLevel="0" collapsed="false">
      <c r="E142" s="9"/>
    </row>
    <row r="143" customFormat="false" ht="13.8" hidden="false" customHeight="false" outlineLevel="0" collapsed="false">
      <c r="E143" s="9"/>
    </row>
    <row r="144" customFormat="false" ht="13.8" hidden="false" customHeight="false" outlineLevel="0" collapsed="false">
      <c r="E144" s="9"/>
    </row>
    <row r="145" customFormat="false" ht="13.8" hidden="false" customHeight="false" outlineLevel="0" collapsed="false">
      <c r="E145" s="9"/>
    </row>
    <row r="146" customFormat="false" ht="13.8" hidden="false" customHeight="false" outlineLevel="0" collapsed="false">
      <c r="E146" s="16"/>
    </row>
    <row r="147" customFormat="false" ht="13.8" hidden="false" customHeight="false" outlineLevel="0" collapsed="false">
      <c r="E147" s="9"/>
    </row>
    <row r="148" customFormat="false" ht="13.8" hidden="false" customHeight="false" outlineLevel="0" collapsed="false">
      <c r="E148" s="9"/>
    </row>
    <row r="149" customFormat="false" ht="13.8" hidden="false" customHeight="false" outlineLevel="0" collapsed="false">
      <c r="E149" s="9"/>
    </row>
    <row r="150" customFormat="false" ht="13.8" hidden="false" customHeight="false" outlineLevel="0" collapsed="false">
      <c r="E150" s="9"/>
    </row>
    <row r="151" customFormat="false" ht="13.8" hidden="false" customHeight="false" outlineLevel="0" collapsed="false">
      <c r="E151" s="9"/>
    </row>
    <row r="152" customFormat="false" ht="13.8" hidden="false" customHeight="false" outlineLevel="0" collapsed="false">
      <c r="E152" s="16"/>
    </row>
    <row r="153" customFormat="false" ht="13.8" hidden="false" customHeight="false" outlineLevel="0" collapsed="false">
      <c r="E153" s="16"/>
    </row>
    <row r="154" customFormat="false" ht="13.8" hidden="false" customHeight="false" outlineLevel="0" collapsed="false">
      <c r="E154" s="16"/>
    </row>
    <row r="155" customFormat="false" ht="13.8" hidden="false" customHeight="false" outlineLevel="0" collapsed="false">
      <c r="E155" s="16"/>
    </row>
    <row r="156" customFormat="false" ht="13.8" hidden="false" customHeight="false" outlineLevel="0" collapsed="false">
      <c r="E156" s="16"/>
    </row>
    <row r="157" customFormat="false" ht="13.8" hidden="false" customHeight="false" outlineLevel="0" collapsed="false">
      <c r="E157" s="16"/>
    </row>
    <row r="158" customFormat="false" ht="13.8" hidden="false" customHeight="false" outlineLevel="0" collapsed="false">
      <c r="E158" s="16"/>
    </row>
    <row r="159" customFormat="false" ht="13.8" hidden="false" customHeight="false" outlineLevel="0" collapsed="false">
      <c r="E159" s="16"/>
    </row>
    <row r="160" customFormat="false" ht="13.8" hidden="false" customHeight="false" outlineLevel="0" collapsed="false">
      <c r="E160" s="16"/>
    </row>
    <row r="161" customFormat="false" ht="13.8" hidden="false" customHeight="false" outlineLevel="0" collapsed="false">
      <c r="E161" s="16"/>
    </row>
    <row r="162" customFormat="false" ht="13.8" hidden="false" customHeight="false" outlineLevel="0" collapsed="false">
      <c r="E162" s="16"/>
    </row>
    <row r="163" customFormat="false" ht="13.8" hidden="false" customHeight="false" outlineLevel="0" collapsed="false">
      <c r="E163" s="16"/>
    </row>
    <row r="164" customFormat="false" ht="13.8" hidden="false" customHeight="false" outlineLevel="0" collapsed="false">
      <c r="E164" s="16"/>
    </row>
    <row r="165" customFormat="false" ht="13.8" hidden="false" customHeight="false" outlineLevel="0" collapsed="false">
      <c r="E165" s="16"/>
    </row>
    <row r="166" customFormat="false" ht="13.8" hidden="false" customHeight="false" outlineLevel="0" collapsed="false">
      <c r="E166" s="16"/>
    </row>
    <row r="167" customFormat="false" ht="13.8" hidden="false" customHeight="false" outlineLevel="0" collapsed="false">
      <c r="E167" s="16"/>
    </row>
    <row r="168" customFormat="false" ht="13.8" hidden="false" customHeight="false" outlineLevel="0" collapsed="false">
      <c r="E168" s="16"/>
    </row>
    <row r="169" customFormat="false" ht="13.8" hidden="false" customHeight="false" outlineLevel="0" collapsed="false">
      <c r="E169" s="16"/>
    </row>
    <row r="170" customFormat="false" ht="13.8" hidden="false" customHeight="false" outlineLevel="0" collapsed="false">
      <c r="E170" s="16"/>
    </row>
    <row r="171" customFormat="false" ht="13.8" hidden="false" customHeight="false" outlineLevel="0" collapsed="false">
      <c r="E171" s="16"/>
    </row>
    <row r="172" customFormat="false" ht="13.8" hidden="false" customHeight="false" outlineLevel="0" collapsed="false">
      <c r="E172" s="16"/>
    </row>
    <row r="173" customFormat="false" ht="13.8" hidden="false" customHeight="false" outlineLevel="0" collapsed="false">
      <c r="E173" s="16"/>
    </row>
    <row r="174" customFormat="false" ht="13.8" hidden="false" customHeight="false" outlineLevel="0" collapsed="false">
      <c r="E174" s="16"/>
    </row>
    <row r="175" customFormat="false" ht="13.8" hidden="false" customHeight="false" outlineLevel="0" collapsed="false">
      <c r="E175" s="9"/>
    </row>
    <row r="176" customFormat="false" ht="13.8" hidden="false" customHeight="false" outlineLevel="0" collapsed="false">
      <c r="E176" s="9"/>
    </row>
    <row r="177" customFormat="false" ht="13.8" hidden="false" customHeight="false" outlineLevel="0" collapsed="false">
      <c r="E177" s="9"/>
    </row>
    <row r="178" customFormat="false" ht="13.8" hidden="false" customHeight="false" outlineLevel="0" collapsed="false">
      <c r="E178" s="9"/>
    </row>
    <row r="179" customFormat="false" ht="13.8" hidden="false" customHeight="false" outlineLevel="0" collapsed="false">
      <c r="E179" s="9"/>
    </row>
    <row r="180" customFormat="false" ht="13.8" hidden="false" customHeight="false" outlineLevel="0" collapsed="false">
      <c r="E180" s="9"/>
    </row>
    <row r="181" customFormat="false" ht="13.8" hidden="false" customHeight="false" outlineLevel="0" collapsed="false">
      <c r="E181" s="16"/>
    </row>
    <row r="182" customFormat="false" ht="13.8" hidden="false" customHeight="false" outlineLevel="0" collapsed="false">
      <c r="E182" s="16"/>
    </row>
    <row r="183" customFormat="false" ht="13.8" hidden="false" customHeight="false" outlineLevel="0" collapsed="false">
      <c r="E183" s="16"/>
    </row>
    <row r="184" customFormat="false" ht="15" hidden="false" customHeight="false" outlineLevel="0" collapsed="false">
      <c r="E184" s="17"/>
    </row>
    <row r="185" customFormat="false" ht="15" hidden="false" customHeight="false" outlineLevel="0" collapsed="false">
      <c r="E185" s="17"/>
    </row>
    <row r="186" customFormat="false" ht="13.8" hidden="false" customHeight="false" outlineLevel="0" collapsed="false">
      <c r="E186" s="16"/>
    </row>
    <row r="187" customFormat="false" ht="13.8" hidden="false" customHeight="false" outlineLevel="0" collapsed="false">
      <c r="E187" s="16"/>
    </row>
    <row r="188" customFormat="false" ht="13.8" hidden="false" customHeight="false" outlineLevel="0" collapsed="false">
      <c r="E188" s="16"/>
    </row>
    <row r="189" customFormat="false" ht="13.8" hidden="false" customHeight="false" outlineLevel="0" collapsed="false">
      <c r="E189" s="16"/>
    </row>
    <row r="190" customFormat="false" ht="13.8" hidden="false" customHeight="false" outlineLevel="0" collapsed="false">
      <c r="E190" s="16"/>
    </row>
    <row r="191" customFormat="false" ht="13.8" hidden="false" customHeight="false" outlineLevel="0" collapsed="false">
      <c r="E191" s="16"/>
    </row>
    <row r="192" customFormat="false" ht="13.8" hidden="false" customHeight="false" outlineLevel="0" collapsed="false">
      <c r="E192" s="16"/>
    </row>
    <row r="193" customFormat="false" ht="13.8" hidden="false" customHeight="false" outlineLevel="0" collapsed="false">
      <c r="E193" s="16"/>
    </row>
    <row r="194" customFormat="false" ht="13.8" hidden="false" customHeight="false" outlineLevel="0" collapsed="false">
      <c r="E194" s="9"/>
    </row>
    <row r="195" customFormat="false" ht="13.8" hidden="false" customHeight="false" outlineLevel="0" collapsed="false">
      <c r="E195" s="9"/>
    </row>
    <row r="196" customFormat="false" ht="13.8" hidden="false" customHeight="false" outlineLevel="0" collapsed="false">
      <c r="E196" s="9"/>
    </row>
    <row r="197" customFormat="false" ht="13.8" hidden="false" customHeight="false" outlineLevel="0" collapsed="false">
      <c r="E197" s="16"/>
    </row>
    <row r="198" customFormat="false" ht="13.8" hidden="false" customHeight="false" outlineLevel="0" collapsed="false">
      <c r="E198" s="16"/>
    </row>
    <row r="199" customFormat="false" ht="13.8" hidden="false" customHeight="false" outlineLevel="0" collapsed="false">
      <c r="E199" s="16"/>
    </row>
    <row r="200" customFormat="false" ht="13.8" hidden="false" customHeight="false" outlineLevel="0" collapsed="false">
      <c r="E200" s="16"/>
    </row>
    <row r="201" customFormat="false" ht="13.8" hidden="false" customHeight="false" outlineLevel="0" collapsed="false">
      <c r="E201" s="9"/>
    </row>
    <row r="202" customFormat="false" ht="13.8" hidden="false" customHeight="false" outlineLevel="0" collapsed="false">
      <c r="E202" s="16"/>
    </row>
    <row r="203" customFormat="false" ht="13.8" hidden="false" customHeight="false" outlineLevel="0" collapsed="false">
      <c r="E203" s="16"/>
    </row>
    <row r="204" customFormat="false" ht="13.8" hidden="false" customHeight="false" outlineLevel="0" collapsed="false">
      <c r="E204" s="16"/>
    </row>
    <row r="205" customFormat="false" ht="13.8" hidden="false" customHeight="false" outlineLevel="0" collapsed="false">
      <c r="E205" s="16"/>
    </row>
    <row r="206" customFormat="false" ht="13.8" hidden="false" customHeight="false" outlineLevel="0" collapsed="false">
      <c r="E206" s="16" t="s">
        <v>19</v>
      </c>
    </row>
    <row r="207" customFormat="false" ht="13.8" hidden="false" customHeight="false" outlineLevel="0" collapsed="false">
      <c r="E207" s="16" t="s">
        <v>19</v>
      </c>
    </row>
    <row r="208" customFormat="false" ht="13.8" hidden="false" customHeight="false" outlineLevel="0" collapsed="false">
      <c r="E208" s="16" t="s">
        <v>19</v>
      </c>
    </row>
    <row r="209" customFormat="false" ht="13.8" hidden="false" customHeight="false" outlineLevel="0" collapsed="false">
      <c r="E209" s="16" t="s">
        <v>19</v>
      </c>
    </row>
    <row r="210" customFormat="false" ht="13.8" hidden="false" customHeight="false" outlineLevel="0" collapsed="false">
      <c r="E210" s="16" t="s">
        <v>19</v>
      </c>
    </row>
    <row r="211" customFormat="false" ht="13.8" hidden="false" customHeight="false" outlineLevel="0" collapsed="false">
      <c r="E211" s="16" t="s">
        <v>19</v>
      </c>
    </row>
    <row r="212" customFormat="false" ht="13.8" hidden="false" customHeight="false" outlineLevel="0" collapsed="false">
      <c r="E212" s="16" t="s">
        <v>215</v>
      </c>
    </row>
    <row r="213" customFormat="false" ht="13.8" hidden="false" customHeight="false" outlineLevel="0" collapsed="false">
      <c r="E213" s="16" t="s">
        <v>215</v>
      </c>
    </row>
    <row r="214" customFormat="false" ht="13.8" hidden="false" customHeight="false" outlineLevel="0" collapsed="false">
      <c r="E214" s="16" t="s">
        <v>215</v>
      </c>
    </row>
    <row r="215" customFormat="false" ht="13.8" hidden="false" customHeight="false" outlineLevel="0" collapsed="false">
      <c r="E215" s="16" t="s">
        <v>19</v>
      </c>
    </row>
    <row r="216" customFormat="false" ht="13.8" hidden="false" customHeight="false" outlineLevel="0" collapsed="false">
      <c r="E216" s="16" t="s">
        <v>19</v>
      </c>
    </row>
    <row r="217" customFormat="false" ht="13.8" hidden="false" customHeight="false" outlineLevel="0" collapsed="false">
      <c r="E217" s="16" t="s">
        <v>19</v>
      </c>
    </row>
    <row r="218" customFormat="false" ht="13.8" hidden="false" customHeight="false" outlineLevel="0" collapsed="false">
      <c r="E218" s="16" t="s">
        <v>215</v>
      </c>
    </row>
    <row r="219" customFormat="false" ht="13.8" hidden="false" customHeight="false" outlineLevel="0" collapsed="false">
      <c r="E219" s="16" t="s">
        <v>19</v>
      </c>
    </row>
    <row r="220" customFormat="false" ht="13.8" hidden="false" customHeight="false" outlineLevel="0" collapsed="false">
      <c r="E220" s="16" t="s">
        <v>19</v>
      </c>
    </row>
    <row r="221" customFormat="false" ht="13.8" hidden="false" customHeight="false" outlineLevel="0" collapsed="false">
      <c r="E221" s="16" t="s">
        <v>215</v>
      </c>
    </row>
    <row r="222" customFormat="false" ht="13.8" hidden="false" customHeight="false" outlineLevel="0" collapsed="false">
      <c r="E222" s="16" t="s">
        <v>215</v>
      </c>
    </row>
    <row r="223" customFormat="false" ht="13.8" hidden="false" customHeight="false" outlineLevel="0" collapsed="false">
      <c r="E223" s="16" t="s">
        <v>19</v>
      </c>
    </row>
    <row r="224" customFormat="false" ht="13.8" hidden="false" customHeight="false" outlineLevel="0" collapsed="false">
      <c r="E224" s="16" t="s">
        <v>19</v>
      </c>
    </row>
    <row r="225" customFormat="false" ht="13.8" hidden="false" customHeight="false" outlineLevel="0" collapsed="false">
      <c r="E225" s="16" t="s">
        <v>135</v>
      </c>
    </row>
    <row r="226" customFormat="false" ht="13.8" hidden="false" customHeight="false" outlineLevel="0" collapsed="false">
      <c r="E226" s="16" t="s">
        <v>135</v>
      </c>
    </row>
    <row r="227" customFormat="false" ht="13.8" hidden="false" customHeight="false" outlineLevel="0" collapsed="false">
      <c r="E227" s="16" t="s">
        <v>135</v>
      </c>
    </row>
    <row r="228" customFormat="false" ht="13.8" hidden="false" customHeight="false" outlineLevel="0" collapsed="false">
      <c r="E228" s="16" t="s">
        <v>135</v>
      </c>
    </row>
    <row r="229" customFormat="false" ht="13.8" hidden="false" customHeight="false" outlineLevel="0" collapsed="false">
      <c r="E229" s="16" t="s">
        <v>135</v>
      </c>
    </row>
    <row r="230" customFormat="false" ht="13.8" hidden="false" customHeight="false" outlineLevel="0" collapsed="false">
      <c r="E230" s="16" t="s">
        <v>19</v>
      </c>
    </row>
    <row r="231" customFormat="false" ht="13.8" hidden="false" customHeight="false" outlineLevel="0" collapsed="false">
      <c r="E231" s="16" t="s">
        <v>215</v>
      </c>
    </row>
    <row r="232" customFormat="false" ht="13.8" hidden="false" customHeight="false" outlineLevel="0" collapsed="false">
      <c r="E232" s="16" t="s">
        <v>215</v>
      </c>
    </row>
    <row r="233" customFormat="false" ht="13.8" hidden="false" customHeight="false" outlineLevel="0" collapsed="false">
      <c r="E233" s="16" t="s">
        <v>19</v>
      </c>
    </row>
    <row r="234" customFormat="false" ht="13.8" hidden="false" customHeight="false" outlineLevel="0" collapsed="false">
      <c r="E234" s="16" t="s">
        <v>135</v>
      </c>
    </row>
    <row r="235" customFormat="false" ht="13.8" hidden="false" customHeight="false" outlineLevel="0" collapsed="false">
      <c r="E235" s="16" t="s">
        <v>135</v>
      </c>
    </row>
    <row r="236" customFormat="false" ht="13.8" hidden="false" customHeight="false" outlineLevel="0" collapsed="false">
      <c r="E236" s="16" t="s">
        <v>135</v>
      </c>
    </row>
    <row r="237" customFormat="false" ht="13.8" hidden="false" customHeight="false" outlineLevel="0" collapsed="false">
      <c r="E237" s="16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2024-05-01T16:13:05Z</dcterms:created>
  <dc:creator>USER</dc:creator>
  <dc:description/>
  <dc:language>en-US</dc:language>
  <cp:lastModifiedBy/>
  <dcterms:modified xsi:type="dcterms:W3CDTF">2024-11-11T18:04:03Z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